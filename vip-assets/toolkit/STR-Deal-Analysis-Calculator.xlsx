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3.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worksheets/sheet4.xml" ContentType="application/vnd.openxmlformats-officedocument.spreadsheetml.worksheet+xml"/>
  <Override PartName="/xl/comments3.xml" ContentType="application/vnd.openxmlformats-officedocument.spreadsheetml.comments+xml"/>
  <Override PartName="/xl/threadedcomments/threadedcomment3.xml" ContentType="application/vnd.ms-excel.threaded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4.xml" ContentType="application/vnd.openxmlformats-officedocument.spreadsheetml.comments+xml"/>
  <Override PartName="/xl/threadedcomments/threadedcomment4.xml" ContentType="application/vnd.ms-excel.threadedcomments+xml"/>
  <Override PartName="/xl/worksheets/sheet9.xml" ContentType="application/vnd.openxmlformats-officedocument.spreadsheetml.worksheet+xml"/>
  <Override PartName="/xl/tables/table1.xml" ContentType="application/vnd.openxmlformats-officedocument.spreadsheetml.table+xml"/>
  <Override PartName="/xl/worksheets/sheet10.xml" ContentType="application/vnd.openxmlformats-officedocument.spreadsheetml.worksheet+xml"/>
  <Override PartName="/xl/tables/table2.xml" ContentType="application/vnd.openxmlformats-officedocument.spreadsheetml.table+xml"/>
  <Override PartName="/xl/worksheets/sheet11.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45e72e396e4d4cb6" /></Relationships>
</file>

<file path=xl/workbook.xml><?xml version="1.0" encoding="utf-8"?>
<x:workbook xmlns:x="http://schemas.openxmlformats.org/spreadsheetml/2006/main">
  <x:sheets>
    <x:sheet xmlns:r="http://schemas.openxmlformats.org/officeDocument/2006/relationships" name="Instructions" sheetId="1" r:id="R2be6f4864c674741"/>
    <x:sheet xmlns:r="http://schemas.openxmlformats.org/officeDocument/2006/relationships" name="Arbitrage Calculator" sheetId="2" r:id="Rd6a1d51ff9454b8e"/>
    <x:sheet xmlns:r="http://schemas.openxmlformats.org/officeDocument/2006/relationships" name="Property Ownership Calculator" sheetId="3" r:id="R7d491840d1954911"/>
    <x:sheet xmlns:r="http://schemas.openxmlformats.org/officeDocument/2006/relationships" name="Seasonality" sheetId="4" r:id="Rabe975ab2ea34b5e"/>
    <x:sheet xmlns:r="http://schemas.openxmlformats.org/officeDocument/2006/relationships" name="Loan Amortization" sheetId="5" r:id="Ref08c92a60ed4031"/>
    <x:sheet xmlns:r="http://schemas.openxmlformats.org/officeDocument/2006/relationships" name="Five Year Projection" sheetId="6" r:id="Rf8be1d2b92b34b4f"/>
    <x:sheet xmlns:r="http://schemas.openxmlformats.org/officeDocument/2006/relationships" name="Scenarios" sheetId="7" r:id="R3ee5f37a83bb4fcc"/>
    <x:sheet xmlns:r="http://schemas.openxmlformats.org/officeDocument/2006/relationships" name="Tax Cost Segregation" sheetId="8" r:id="R4f3374c1ae464bfe"/>
    <x:sheet xmlns:r="http://schemas.openxmlformats.org/officeDocument/2006/relationships" name="Assumptions Definitions" sheetId="9" r:id="R90bb06f1af404d49"/>
    <x:sheet xmlns:r="http://schemas.openxmlformats.org/officeDocument/2006/relationships" name="Tested Examples" sheetId="10" r:id="R5e12e2cb583b42dd"/>
    <x:sheet xmlns:r="http://schemas.openxmlformats.org/officeDocument/2006/relationships" name="Deal Overview" sheetId="11" r:id="R60dbb752321c492d"/>
  </x:sheets>
</x:workbook>
</file>

<file path=xl/comments1.xml><?xml version="1.0" encoding="utf-8"?>
<x:comments xmlns:x="http://schemas.openxmlformats.org/spreadsheetml/2006/main">
  <x:authors>
    <x:author>tc={113D7027-1B44-FB5F-F826-F129CA24C633}</x:author>
    <x:author>tc={0BBF1FC6-DE0B-EC03-39FC-39F083CC765E}</x:author>
    <x:author>tc={4CAB820F-4289-6A07-1915-237A5AC21C54}</x:author>
    <x:author>tc={670BA1CD-C15A-64E0-0CCF-329CB6B481A5}</x:author>
    <x:author>tc={DEC07556-D257-1FED-B3D7-9090C4ACAA3B}</x:author>
    <x:author>tc={465BD334-F5C5-C269-E230-C7E9064158E2}</x:author>
    <x:author>tc={DEB9683C-A84A-7807-014E-86952096F205}</x:author>
    <x:author>tc={84D3640B-872E-8214-CB03-DADB0BC8D8F4}</x:author>
    <x:author>tc={711A1B44-8193-2985-795C-4C336EFBAF40}</x:author>
    <x:author>tc={5E265AB1-EC6B-EA4A-AE63-58844252FF29}</x:author>
    <x:author>tc={96A84FA9-73A9-0D02-523E-5CC291CF4693}</x:author>
    <x:author>tc={FDCA6B8D-A407-3F98-3493-B270193CE7E2}</x:author>
    <x:author>tc={B6A8AD3C-E51B-507C-3E59-F60E49BFA135}</x:author>
    <x:author>tc={4FA36E39-1AB3-DDF7-6611-949F39F89B79}</x:author>
    <x:author>tc={A60B5638-2590-06E6-5E83-21F54B5E48AD}</x:author>
    <x:author>tc={16DC4CCC-0C79-97DE-CC75-D8DEB8EB5829}</x:author>
    <x:author>tc={B9608DCF-688A-B9AC-788F-412974309812}</x:author>
    <x:author>tc={1B51927A-A2FA-8AB1-5067-B36C590C5928}</x:author>
    <x:author>tc={5C08233F-CC90-B18E-63A3-3D491A34922C}</x:author>
    <x:author>tc={D887AE20-98B4-9123-1931-971C289CD780}</x:author>
    <x:author>tc={5C193E9C-2098-6EF1-DA2B-EC6018EEB1CB}</x:author>
    <x:author>tc={AFEDD7DE-58C3-D9BB-30F9-E007E67D1EF0}</x:author>
    <x:author>tc={5144B1AA-E4D2-9D62-7455-C96EA6178A42}</x:author>
    <x:author>tc={A5FCD60E-D603-C55A-1A25-2A58BE80753E}</x:author>
    <x:author>tc={7F7A98F1-FFCA-2EC8-7E04-E93CD685EBB0}</x:author>
    <x:author>tc={5B9817AB-28AF-2892-6BB8-2D4676EF8960}</x:author>
    <x:author>tc={A87AD955-0A05-724F-CDA4-B7583B44E0F2}</x:author>
    <x:author>tc={B34C54D0-FC24-FA49-43ED-5801AF39455A}</x:author>
    <x:author>tc={00380D2D-234B-1BFE-EE9D-9CAF5AB9B1C2}</x:author>
    <x:author>tc={D1B28C2C-5D7D-4710-448B-8D8FA4611D15}</x:author>
    <x:author>tc={DD36C261-7EB7-BD4D-362B-87144D470A17}</x:author>
    <x:author>tc={595DACBD-8010-CE78-E789-17384255B5F8}</x:author>
    <x:author>tc={951D63B1-7DC1-EBD2-D754-A23703C1CB1C}</x:author>
    <x:author>tc={1FD7C259-009D-BA60-5B57-88D4791F686C}</x:author>
    <x:author>tc={911ECA68-41B6-8BDD-370B-2EE29D231D99}</x:author>
    <x:author>tc={2B71DEC9-6688-581D-195D-31F580CB5230}</x:author>
    <x:author>tc={2081F0A1-D687-1488-71BA-E44E9EC1BCEE}</x:author>
    <x:author>tc={32A88566-8250-2293-8FDB-8D55E06D8A26}</x:author>
    <x:author>tc={1CB0BA0D-D5B7-65EF-CC1B-9DD69F6EEB25}</x:author>
    <x:author>tc={49945953-F723-D8CF-3ECC-51E2D99D1740}</x:author>
    <x:author>tc={8BD0813D-E8AF-F1EC-B405-42CD7602A807}</x:author>
    <x:author>tc={C8CA6B4C-C13C-33C1-F31E-41BCF358EA6B}</x:author>
    <x:author>tc={121FC691-B694-5171-1961-EA360A39BF9B}</x:author>
    <x:author>tc={617E1D3A-61C7-3F94-86D6-EC0FB4039CF4}</x:author>
    <x:author>tc={92E05A89-CFAF-36FC-EFA0-596B62CA2D9F}</x:author>
    <x:author>tc={78F56060-6F5A-12D1-F2EB-87220FC9A997}</x:author>
    <x:author>tc={6506986F-8592-3F1B-EB12-36ACA75AE971}</x:author>
    <x:author>tc={9EDB44F9-5A53-3F0D-0FF3-F2D74F46DA9E}</x:author>
    <x:author>tc={E5207388-804F-3F4B-8C04-816B39DB3FBE}</x:author>
    <x:author>tc={F84DC483-68F8-19C5-C9F2-B4B624BA5C19}</x:author>
    <x:author>tc={7DBFB615-F35F-0260-1A20-9091F952FF99}</x:author>
    <x:author>tc={13391CA1-610E-C62D-0BC5-7FBB75BDAA02}</x:author>
    <x:author>tc={E30249AD-06AC-70AC-760F-44A7E45AD230}</x:author>
    <x:author>tc={9E9FB490-C997-D553-F07E-7FDA8EA0BA8D}</x:author>
  </x:authors>
  <x:commentList>
    <x:comment ref="B13" authorId="0">
      <x:text>
        <x:r>
          <x:t>[Threaded comment]
Your version of Excel allows you to read this threaded comment; however, any edits to it will get removed if the file is opened in a newer version of Excel. Learn more: https://go.microsoft.com/fwlink/?linkid=870924
Comment:
    Source: Illustrative example. Replace before use.</x:t>
        </x:r>
      </x:text>
    </x:comment>
    <x:comment ref="B14" authorId="1">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Confirm this parcel, operating model, permit availability and transfer rules.</x:t>
        </x:r>
      </x:text>
    </x:comment>
    <x:comment ref="B15" authorId="2">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Written lease permission for STRs.</x:t>
        </x:r>
      </x:text>
    </x:comment>
    <x:comment ref="B16" authorId="3">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Yes means reviewed and allowed, including where no HOA exists.</x:t>
        </x:r>
      </x:text>
    </x:comment>
    <x:comment ref="B19" authorId="4">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Monthly mode uses the editable monthly assumptions on Seasonality.</x:t>
        </x:r>
      </x:text>
    </x:comment>
    <x:comment ref="B20" authorId="5">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Booked room rate only. Exclude cleaning fees and lodging taxes.</x:t>
        </x:r>
      </x:text>
    </x:comment>
    <x:comment ref="B21" authorId="6">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Booked nights / available nights. Not booked nights / all calendar days.</x:t>
        </x:r>
      </x:text>
    </x:comment>
    <x:comment ref="B22" authorId="7">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Exclude personal use, maintenance and unavailable nights.</x:t>
        </x:r>
      </x:text>
    </x:comment>
    <x:comment ref="B23" authorId="8">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Expected stays = occupied nights / average stay; fractional stays are estimates.</x:t>
        </x:r>
      </x:text>
    </x:comment>
    <x:comment ref="B24" authorId="9">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Revenue charged to the guest; cleaning expense is entered separately.</x:t>
        </x:r>
      </x:text>
    </x:comment>
    <x:comment ref="B25" authorId="10">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Pet / extra-person / other host fees; exclude taxes and guest service fees.</x:t>
        </x:r>
      </x:text>
    </x:comment>
    <x:comment ref="B26" authorId="11">
      <x:text>
        <x:r>
          <x:t>[Threaded comment]
Your version of Excel allows you to read this threaded comment; however, any edits to it will get removed if the file is opened in a newer version of Excel. Learn more: https://go.microsoft.com/fwlink/?linkid=870924
Comment:
    Source: https://www.airbnb.com/help/article/1857
15.5% example single fee. Confirm your actual channel/PMS fee structure.</x:t>
        </x:r>
      </x:text>
    </x:comment>
    <x:comment ref="B27" authorId="12">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Set a market replacement cost even when you plan to self-manage.</x:t>
        </x:r>
      </x:text>
    </x:comment>
    <x:comment ref="B28" authorId="13">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Gross booking includes cleaning and other guest fees.</x:t>
        </x:r>
      </x:text>
    </x:comment>
    <x:comment ref="B17" authorId="14">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Compare payback to the enforceable remaining lease term.</x:t>
        </x:r>
      </x:text>
    </x:comment>
    <x:comment ref="B18" authorId="15">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Ongoing rent. Prepaid rent below is initial cash funding, not a second expense.</x:t>
        </x:r>
      </x:text>
    </x:comment>
    <x:comment ref="B31" authorId="16">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Included in cash tied up; recovery is not assumed in payback.</x:t>
        </x:r>
      </x:text>
    </x:comment>
    <x:comment ref="B32" authorId="17">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Nonrefundable lease application expenses.</x:t>
        </x:r>
      </x:text>
    </x:comment>
    <x:comment ref="B33" authorId="18">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Deposits and connection charges required before opening.</x:t>
        </x:r>
      </x:text>
    </x:comment>
    <x:comment ref="B34" authorId="19">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Cash required at signing; ongoing cash flow remains a stabilized annual view.</x:t>
        </x:r>
      </x:text>
    </x:comment>
    <x:comment ref="B35" authorId="20">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Do not enter the same deposit or prepaid rent twice.</x:t>
        </x:r>
      </x:text>
    </x:comment>
    <x:comment ref="B36" authorId="21">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Beds, seating and other durable furniture.</x:t>
        </x:r>
      </x:text>
    </x:comment>
    <x:comment ref="B37" authorId="22">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Design and sourcing fees.</x:t>
        </x:r>
      </x:text>
    </x:comment>
    <x:comment ref="B38" authorId="23">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Use lawful, disclosed security equipment; no indoor guest cameras.</x:t>
        </x:r>
      </x:text>
    </x:comment>
    <x:comment ref="B39" authorId="24">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Opening inventory; recurring replacements belong in operations.</x:t>
        </x:r>
      </x:text>
    </x:comment>
    <x:comment ref="B40" authorId="25">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Opening inventory only.</x:t>
        </x:r>
      </x:text>
    </x:comment>
    <x:comment ref="B41" authorId="26">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Initial listing photography.</x:t>
        </x:r>
      </x:text>
    </x:comment>
    <x:comment ref="B42" authorId="27">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One-time initial fees; recurring renewals are below.</x:t>
        </x:r>
      </x:text>
    </x:comment>
    <x:comment ref="B43" authorId="28">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Lease review, travel, contingency and other launch costs.</x:t>
        </x:r>
      </x:text>
    </x:comment>
    <x:comment ref="B44" authorId="29">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Only extra upfront cash funding; do not duplicate it in other startup rows.</x:t>
        </x:r>
      </x:text>
    </x:comment>
    <x:comment ref="B45" authorId="30">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Months of fixed monthly costs. A planning buffer, not an operating expense.</x:t>
        </x:r>
      </x:text>
    </x:comment>
    <x:comment ref="B46" authorId="31">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Extra cash buffer above the fixed-month reserve.</x:t>
        </x:r>
      </x:text>
    </x:comment>
    <x:comment ref="B49" authorId="32">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Electricity, gas, water and trash.</x:t>
        </x:r>
      </x:text>
    </x:comment>
    <x:comment ref="B50" authorId="33">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Reliable service plus any backup requirement.</x:t>
        </x:r>
      </x:text>
    </x:comment>
    <x:comment ref="B51" authorId="34">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STR-appropriate policy; obtain a written quote.</x:t>
        </x:r>
      </x:text>
    </x:comment>
    <x:comment ref="B52" authorId="35">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PMS, pricing, automation and subscriptions.</x:t>
        </x:r>
      </x:text>
    </x:comment>
    <x:comment ref="B53" authorId="36">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Monthly average; add seasonal service spikes in your reserve.</x:t>
        </x:r>
      </x:text>
    </x:comment>
    <x:comment ref="B54" authorId="37">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Only where required and STR use is permitted.</x:t>
        </x:r>
      </x:text>
    </x:comment>
    <x:comment ref="B55" authorId="38">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Recurring fees and non-pass-through taxes; no income tax.</x:t>
        </x:r>
      </x:text>
    </x:comment>
    <x:comment ref="B56" authorId="39">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Add only costs not included in management percentage.</x:t>
        </x:r>
      </x:text>
    </x:comment>
    <x:comment ref="B57" authorId="40">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Base maintenance, separate from revenue-linked provision.</x:t>
        </x:r>
      </x:text>
    </x:comment>
    <x:comment ref="B58" authorId="41">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Do not omit small recurring expenses.</x:t>
        </x:r>
      </x:text>
    </x:comment>
    <x:comment ref="B59" authorId="42">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Include laundry, supplies and turnover labor.</x:t>
        </x:r>
      </x:text>
    </x:comment>
    <x:comment ref="B60" authorId="43">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Coffee, toiletries and other usage-linked costs.</x:t>
        </x:r>
      </x:text>
    </x:comment>
    <x:comment ref="B61" authorId="44">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Additional revenue-linked repairs allowance.</x:t>
        </x:r>
      </x:text>
    </x:comment>
    <x:comment ref="B62" authorId="45">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Cash reserve for furnishings and other future replacements.</x:t>
        </x:r>
      </x:text>
    </x:comment>
    <x:comment ref="B63" authorId="46">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Percentage of gross booking borne by host; pass-through tax is excluded.</x:t>
        </x:r>
      </x:text>
    </x:comment>
    <x:comment ref="B66" authorId="47">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Teaching target only; choose your own required compensation.</x:t>
        </x:r>
      </x:text>
    </x:comment>
    <x:comment ref="B67" authorId="48">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On total opening cash, including deposits and reserves.</x:t>
        </x:r>
      </x:text>
    </x:comment>
    <x:comment ref="B68" authorId="49">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Lower provides more downside room; not a universal rule.</x:t>
        </x:r>
      </x:text>
    </x:comment>
    <x:comment ref="B69" authorId="50">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Base occupancy minus break-even, in percentage points.</x:t>
        </x:r>
      </x:text>
    </x:comment>
    <x:comment ref="B70" authorId="51">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Must also fit within the remaining lease term.</x:t>
        </x:r>
      </x:text>
    </x:comment>
    <x:comment ref="B71" authorId="52">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Based on fixed costs, before revenue-dependent spending.</x:t>
        </x:r>
      </x:text>
    </x:comment>
    <x:comment ref="B72" authorId="53">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Room revenue only; ignores cleaning fees in this ratio.</x:t>
        </x:r>
      </x:text>
    </x:comment>
  </x:commentList>
</x:comments>
</file>

<file path=xl/comments2.xml><?xml version="1.0" encoding="utf-8"?>
<x:comments xmlns:x="http://schemas.openxmlformats.org/spreadsheetml/2006/main">
  <x:authors>
    <x:author>tc={C61EF795-8853-F374-3C7F-9BB8F3100694}</x:author>
    <x:author>tc={84EC95E4-6F9C-B027-CD0C-ABD134AD6E17}</x:author>
    <x:author>tc={9040407A-B6FF-4582-4423-423B16D599C9}</x:author>
    <x:author>tc={87FCDC6F-5EAC-9896-8089-1F4D73689BE3}</x:author>
    <x:author>tc={4B924F2A-B9DD-5880-AA1A-A3EF2925626B}</x:author>
    <x:author>tc={6785CAE3-CFF6-2470-208A-A89319C6B57E}</x:author>
    <x:author>tc={A9DD3C2B-656A-820E-98CD-12C83ED24A7D}</x:author>
    <x:author>tc={F9C5C477-EF37-E21B-D4D8-602D1FA2E73F}</x:author>
    <x:author>tc={1114B769-996C-402D-D776-20E854570A3D}</x:author>
    <x:author>tc={2396663A-D789-B9B0-0F63-7D44F15B94AB}</x:author>
    <x:author>tc={0E8DD47B-83FC-6AF4-7EB0-D15B73FB362E}</x:author>
    <x:author>tc={E944FD39-AC64-1426-212C-2D2E3EC32ED3}</x:author>
    <x:author>tc={AE714B76-A103-F694-5FC3-49ECA4A891F8}</x:author>
    <x:author>tc={C9D7D68E-2A8D-D0E1-E1E3-59C3E37D055A}</x:author>
    <x:author>tc={3AAE0AE3-54BE-4344-FE60-BC43575A92B1}</x:author>
    <x:author>tc={E643728A-50B5-2EF8-48BD-4350A3D9ECEB}</x:author>
    <x:author>tc={F37706B1-9E61-C884-D946-C63FBDBE4D17}</x:author>
    <x:author>tc={6C13592C-CE24-207A-09DF-02A96EB4978A}</x:author>
    <x:author>tc={26F65652-491F-AB6A-EDCB-C877BD1DCEC1}</x:author>
    <x:author>tc={1FD83284-19E9-DE35-E8EA-2051690AAAFA}</x:author>
    <x:author>tc={4620D621-412A-62F6-5185-3C36EBDC9AD5}</x:author>
    <x:author>tc={5CCA8213-96CA-257E-61E0-E4AF1A484E89}</x:author>
    <x:author>tc={E96ACA3A-2CBE-DA8E-20B0-D45AB34445A5}</x:author>
    <x:author>tc={B67B772A-325D-7F83-B2AE-3F2F7444F24A}</x:author>
    <x:author>tc={1C122436-2967-5BFB-3327-01A1B7F12933}</x:author>
    <x:author>tc={E7232FAF-6BD7-B6F8-B946-B5B8AC8A93D9}</x:author>
    <x:author>tc={1DEF129B-36EF-7CC0-3890-9C3879D02010}</x:author>
    <x:author>tc={103CDE8E-77DB-AABB-1437-35E7F3E4224F}</x:author>
    <x:author>tc={EFD5A34C-38E9-D4D8-CCDA-7C36FD49C71F}</x:author>
    <x:author>tc={C94878FE-FC81-136C-299E-93CA8EB363DB}</x:author>
    <x:author>tc={C49226F9-41AF-CC3B-0B50-BE7FD5287D3D}</x:author>
    <x:author>tc={79472849-9BE3-2E6C-DE1E-74CBCE540B3E}</x:author>
    <x:author>tc={BDE977C6-F440-FA25-A869-0ECC53CBB825}</x:author>
    <x:author>tc={2FACA972-CB19-DEEA-0C57-A3FFEFF24D70}</x:author>
    <x:author>tc={E4EC1B49-B91C-1149-820C-AB08D677C7DA}</x:author>
    <x:author>tc={15B64C97-C6D2-5403-C1EA-33EC0C531092}</x:author>
    <x:author>tc={38777865-DE0E-3325-796B-38C4D28834A4}</x:author>
    <x:author>tc={B337D88A-F760-E069-800E-DD100B6500A0}</x:author>
    <x:author>tc={39883ED7-B974-8D8E-46A9-B40428E6F9D6}</x:author>
    <x:author>tc={50C51380-30CF-8D1C-AADD-D10A7EA89B94}</x:author>
    <x:author>tc={86DA52A8-F738-87F1-1399-041682A8A55C}</x:author>
    <x:author>tc={2CA9034B-11CB-5834-4BD7-7CA19CC6F02D}</x:author>
    <x:author>tc={660CED07-FB92-0C18-70A3-328339477922}</x:author>
    <x:author>tc={5925E32C-C01C-5165-9501-4C724C2BA121}</x:author>
    <x:author>tc={D50BDBC4-C5F2-FB40-4889-C1575B00EF1E}</x:author>
    <x:author>tc={4A3624DF-E77A-E26B-35AE-42841474624B}</x:author>
    <x:author>tc={E2694967-366A-D3E7-8703-427CE58DCB43}</x:author>
    <x:author>tc={517D5833-292C-ECD2-7F6F-3E8986709AB0}</x:author>
    <x:author>tc={F35349C3-8490-F945-A0DA-F1FD4CA936FB}</x:author>
    <x:author>tc={DD556D78-9131-9A21-3E94-F1F884B7FC0E}</x:author>
    <x:author>tc={2CBCFECC-96AC-8142-92DA-AF77D7DF589B}</x:author>
    <x:author>tc={A2BCC863-64D5-2CA1-3339-61103ED33BAA}</x:author>
    <x:author>tc={169ECC74-766A-711F-A873-F3B7CA9A4DBB}</x:author>
  </x:authors>
  <x:commentList>
    <x:comment ref="B13" authorId="0">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Save a separate workbook copy for each property.</x:t>
        </x:r>
      </x:text>
    </x:comment>
    <x:comment ref="B14" authorId="1">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Confirm this parcel, operating model, permit availability and transfer rules.</x:t>
        </x:r>
      </x:text>
    </x:comment>
    <x:comment ref="B15" authorId="2">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Lender approves the intended STR use; do not assume second-home terms.</x:t>
        </x:r>
      </x:text>
    </x:comment>
    <x:comment ref="B16" authorId="3">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Yes means reviewed and allowed, including where no HOA exists.</x:t>
        </x:r>
      </x:text>
    </x:comment>
    <x:comment ref="B19" authorId="4">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Monthly mode uses the editable monthly assumptions on Seasonality.</x:t>
        </x:r>
      </x:text>
    </x:comment>
    <x:comment ref="B20" authorId="5">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Booked room rate only. Exclude cleaning fees and lodging taxes.</x:t>
        </x:r>
      </x:text>
    </x:comment>
    <x:comment ref="B21" authorId="6">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Booked nights / available nights. Not booked nights / all calendar days.</x:t>
        </x:r>
      </x:text>
    </x:comment>
    <x:comment ref="B22" authorId="7">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Exclude personal use, maintenance and unavailable nights.</x:t>
        </x:r>
      </x:text>
    </x:comment>
    <x:comment ref="B23" authorId="8">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Expected stays = occupied nights / average stay; fractional stays are estimates.</x:t>
        </x:r>
      </x:text>
    </x:comment>
    <x:comment ref="B24" authorId="9">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Revenue charged to the guest; cleaning expense is entered separately.</x:t>
        </x:r>
      </x:text>
    </x:comment>
    <x:comment ref="B25" authorId="10">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Pet / extra-person / other host fees; exclude taxes and guest service fees.</x:t>
        </x:r>
      </x:text>
    </x:comment>
    <x:comment ref="B26" authorId="11">
      <x:text>
        <x:r>
          <x:t>[Threaded comment]
Your version of Excel allows you to read this threaded comment; however, any edits to it will get removed if the file is opened in a newer version of Excel. Learn more: https://go.microsoft.com/fwlink/?linkid=870924
Comment:
    Source: https://www.airbnb.com/help/article/1857
15.5% example single fee. Confirm your actual channel/PMS fee structure.</x:t>
        </x:r>
      </x:text>
    </x:comment>
    <x:comment ref="B27" authorId="12">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Set a market replacement cost even when you plan to self-manage.</x:t>
        </x:r>
      </x:text>
    </x:comment>
    <x:comment ref="B28" authorId="13">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Gross booking includes cleaning and other guest fees.</x:t>
        </x:r>
      </x:text>
    </x:comment>
    <x:comment ref="B17" authorId="14">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Contract price; obtain parcel-specific comparables.</x:t>
        </x:r>
      </x:text>
    </x:comment>
    <x:comment ref="B18" authorId="15">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Used when down-payment mode is Percent.</x:t>
        </x:r>
      </x:text>
    </x:comment>
    <x:comment ref="B31" authorId="16">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Choose Percent or Dollars, not both.</x:t>
        </x:r>
      </x:text>
    </x:comment>
    <x:comment ref="B32" authorId="17">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Used only in Dollars mode.</x:t>
        </x:r>
      </x:text>
    </x:comment>
    <x:comment ref="B33" authorId="18">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Cash closing costs; tax basis treatment is reviewed separately.</x:t>
        </x:r>
      </x:text>
    </x:comment>
    <x:comment ref="B34" authorId="19">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Illustrative fixed rate, not a current lender quote.</x:t>
        </x:r>
      </x:text>
    </x:comment>
    <x:comment ref="B35" authorId="20">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Fully amortizing loan; no balloon or interest-only feature.</x:t>
        </x:r>
      </x:text>
    </x:comment>
    <x:comment ref="B36" authorId="21">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Cash work needed before launch.</x:t>
        </x:r>
      </x:text>
    </x:comment>
    <x:comment ref="B37" authorId="22">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Separately tracked from building basis in the tax estimate.</x:t>
        </x:r>
      </x:text>
    </x:comment>
    <x:comment ref="B38" authorId="23">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Liquidity buffer, not included in NOI.</x:t>
        </x:r>
      </x:text>
    </x:comment>
    <x:comment ref="B39" authorId="24">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Appraisal, due diligence, travel and other outlays.</x:t>
        </x:r>
      </x:text>
    </x:comment>
    <x:comment ref="B40" authorId="25">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Initial fees; recurring costs are entered below.</x:t>
        </x:r>
      </x:text>
    </x:comment>
    <x:comment ref="B41" authorId="26">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Other initial cash; avoid duplicate entries.</x:t>
        </x:r>
      </x:text>
    </x:comment>
    <x:comment ref="B44" authorId="27">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Electricity, gas, water and trash.</x:t>
        </x:r>
      </x:text>
    </x:comment>
    <x:comment ref="B45" authorId="28">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Internet and any required backup.</x:t>
        </x:r>
      </x:text>
    </x:comment>
    <x:comment ref="B46" authorId="29">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Obtain STR, flood/wind/fire and liability quotes as needed.</x:t>
        </x:r>
      </x:text>
    </x:comment>
    <x:comment ref="B47" authorId="30">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Include dues and expected special assessments separately.</x:t>
        </x:r>
      </x:text>
    </x:comment>
    <x:comment ref="B48" authorId="31">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Use reassessed/post-purchase estimate, not seller exemptions.</x:t>
        </x:r>
      </x:text>
    </x:comment>
    <x:comment ref="B49" authorId="32">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PMS, pricing and subscriptions.</x:t>
        </x:r>
      </x:text>
    </x:comment>
    <x:comment ref="B50" authorId="33">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Annual recurring fees divided by 12.</x:t>
        </x:r>
      </x:text>
    </x:comment>
    <x:comment ref="B51" authorId="34">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Average service cost; seasonal peaks require liquidity.</x:t>
        </x:r>
      </x:text>
    </x:comment>
    <x:comment ref="B52" authorId="35">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Base maintenance spending, not capital improvements.</x:t>
        </x:r>
      </x:text>
    </x:comment>
    <x:comment ref="B53" authorId="36">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Only labor not covered by management fee.</x:t>
        </x:r>
      </x:text>
    </x:comment>
    <x:comment ref="B54" authorId="37">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Other recurring costs, excluding income tax.</x:t>
        </x:r>
      </x:text>
    </x:comment>
    <x:comment ref="B55" authorId="38">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All-in turnover cost including laundry.</x:t>
        </x:r>
      </x:text>
    </x:comment>
    <x:comment ref="B56" authorId="39">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Usage-linked consumables.</x:t>
        </x:r>
      </x:text>
    </x:comment>
    <x:comment ref="B57" authorId="40">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Additional repair allowance, included in NOI.</x:t>
        </x:r>
      </x:text>
    </x:comment>
    <x:comment ref="B58" authorId="41">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Excluded from NOI; deducted in distributable cash flow.</x:t>
        </x:r>
      </x:text>
    </x:comment>
    <x:comment ref="B59" authorId="42">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Of gross booking; guest pass-through lodging tax is excluded.</x:t>
        </x:r>
      </x:text>
    </x:comment>
    <x:comment ref="B62" authorId="43">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After P&amp;I and CapEx reserve.</x:t>
        </x:r>
      </x:text>
    </x:comment>
    <x:comment ref="B63" authorId="44">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On all initial cash, including reserves.</x:t>
        </x:r>
      </x:text>
    </x:comment>
    <x:comment ref="B64" authorId="45">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NOI / debt service; lender definitions may differ.</x:t>
        </x:r>
      </x:text>
    </x:comment>
    <x:comment ref="B65" authorId="46">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After debt service and CapEx reserve.</x:t>
        </x:r>
      </x:text>
    </x:comment>
    <x:comment ref="B66" authorId="47">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Base occupancy minus break-even, in percentage points.</x:t>
        </x:r>
      </x:text>
    </x:comment>
    <x:comment ref="B67" authorId="48">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Fixed operating costs plus scheduled P&amp;I.</x:t>
        </x:r>
      </x:text>
    </x:comment>
    <x:comment ref="B70" authorId="49">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Annual change; occupancy and available nights held constant.</x:t>
        </x:r>
      </x:text>
    </x:comment>
    <x:comment ref="B71" authorId="50">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Annual inflation for fixed operating expenses.</x:t>
        </x:r>
      </x:text>
    </x:comment>
    <x:comment ref="B72" authorId="51">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Uncertain, noncash assumption; never used to rescue cash flow.</x:t>
        </x:r>
      </x:text>
    </x:comment>
    <x:comment ref="B73" authorId="52">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Annual growth in per-stay and per-night costs.</x:t>
        </x:r>
      </x:text>
    </x:comment>
  </x:commentList>
</x:comments>
</file>

<file path=xl/comments3.xml><?xml version="1.0" encoding="utf-8"?>
<x:comments xmlns:x="http://schemas.openxmlformats.org/spreadsheetml/2006/main">
  <x:authors>
    <x:author>tc={114FED1B-FDDB-3406-C90F-F3276B1D8C09}</x:author>
    <x:author>tc={28459155-B323-4EEB-0B4A-BC0E4B2EE05A}</x:author>
  </x:authors>
  <x:commentList>
    <x:comment ref="C13" authorId="0">
      <x:text>
        <x:r>
          <x:t>[Threaded comment]
Your version of Excel allows you to read this threaded comment; however, any edits to it will get removed if the file is opened in a newer version of Excel. Learn more: https://go.microsoft.com/fwlink/?linkid=870924
Comment:
    All monthly inputs are illustrative defaults, not researched local forecasts. Use matched property-level comparable evidence.</x:t>
        </x:r>
      </x:text>
    </x:comment>
    <x:comment ref="C31" authorId="1">
      <x:text>
        <x:r>
          <x:t>[Threaded comment]
Your version of Excel allows you to read this threaded comment; however, any edits to it will get removed if the file is opened in a newer version of Excel. Learn more: https://go.microsoft.com/fwlink/?linkid=870924
Comment:
    All monthly inputs are illustrative defaults, not researched local forecasts. Use matched property-level comparable evidence.</x:t>
        </x:r>
      </x:text>
    </x:comment>
  </x:commentList>
</x:comments>
</file>

<file path=xl/comments4.xml><?xml version="1.0" encoding="utf-8"?>
<x:comments xmlns:x="http://schemas.openxmlformats.org/spreadsheetml/2006/main">
  <x:authors>
    <x:author>tc={A5889176-73EE-D961-63B0-883572090F74}</x:author>
    <x:author>tc={3F315062-4144-176B-320A-C8580E99BB8B}</x:author>
    <x:author>tc={6CE00AE7-DE04-CA07-A283-7981C423E662}</x:author>
    <x:author>tc={00A3CF0A-EC89-9850-CF46-5E7825F55EFA}</x:author>
    <x:author>tc={16EFFA63-A861-DD27-0ED5-1470281F7E6D}</x:author>
    <x:author>tc={680776C2-820F-AC0F-2174-5A4FE50AE35A}</x:author>
    <x:author>tc={46AE5CDD-F21A-8A74-AA5C-A6D6FE7E8843}</x:author>
    <x:author>tc={870F4266-D351-D625-1BD2-7749AD3DED93}</x:author>
    <x:author>tc={EF41473B-11F2-AD7B-F3B1-84C587F6A3D8}</x:author>
    <x:author>tc={0C66E60D-463A-4D30-E394-364F292E70BE}</x:author>
    <x:author>tc={72320E5E-FA09-AF7B-0B2A-5C98A042E78A}</x:author>
    <x:author>tc={EFA9D4D2-FC2E-54B2-4610-710EE2BD6791}</x:author>
    <x:author>tc={B71A919D-2E45-ACB4-3F72-429F7F996460}</x:author>
    <x:author>tc={420C7F06-6348-1823-B810-03E85F0D025C}</x:author>
    <x:author>tc={A5DE1700-3449-54D8-AA9E-3A6E1D3CC955}</x:author>
    <x:author>tc={FF78EDC5-EF80-8733-4E40-FEBA72F04B22}</x:author>
    <x:author>tc={D0952342-D8E9-77C7-E76F-7108B70A7A77}</x:author>
    <x:author>tc={ED8DE2CF-8AF4-EF50-9930-92BEB79B80DE}</x:author>
    <x:author>tc={A5A39F49-D31E-8E24-385F-D810449AC316}</x:author>
    <x:author>tc={54082970-A071-2F27-BA7A-18E2545BA9A5}</x:author>
    <x:author>tc={1C098282-35C1-D8FC-23A2-421B5430D689}</x:author>
    <x:author>tc={81E6717C-4DD2-2AB1-D804-14D972F88756}</x:author>
    <x:author>tc={4EA122D8-523B-2A22-30EE-423DDE2D4669}</x:author>
    <x:author>tc={9320E28A-4B70-5365-BD38-43223C6078A6}</x:author>
    <x:author>tc={5D5B8366-1700-D57F-12D5-B191D22A0317}</x:author>
    <x:author>tc={6AB5BD25-A6A2-4DCB-6B65-CBCDB937C170}</x:author>
    <x:author>tc={838CC585-002F-A5A7-2903-51C4540F70F7}</x:author>
    <x:author>tc={08D91C13-F3C2-35ED-CDC5-442BCE5572D4}</x:author>
    <x:author>tc={E4257C76-FC64-57FA-C7ED-1DAB58CE9D70}</x:author>
  </x:authors>
  <x:commentList>
    <x:comment ref="B13" authorId="0">
      <x:text>
        <x:r>
          <x:t>[Threaded comment]
Your version of Excel allows you to read this threaded comment; however, any edits to it will get removed if the file is opened in a newer version of Excel. Learn more: https://go.microsoft.com/fwlink/?linkid=870924
Comment:
    Source: https://www.irs.gov/pub/irs-drop/n-26-11.pdf
Illustrative date. CPA must determine tax acquisition date, not just closing date.</x:t>
        </x:r>
      </x:text>
    </x:comment>
    <x:comment ref="B14" authorId="1">
      <x:text>
        <x:r>
          <x:t>[Threaded comment]
Your version of Excel allows you to read this threaded comment; however, any edits to it will get removed if the file is opened in a newer version of Excel. Learn more: https://go.microsoft.com/fwlink/?linkid=870924
Comment:
    Source: https://www.irs.gov/publications/p527
Illustrative date; property must be ready and available for its intended rental use.</x:t>
        </x:r>
      </x:text>
    </x:comment>
    <x:comment ref="B18" authorId="2">
      <x:text>
        <x:r>
          <x:t>[Threaded comment]
Your version of Excel allows you to read this threaded comment; however, any edits to it will get removed if the file is opened in a newer version of Excel. Learn more: https://go.microsoft.com/fwlink/?linkid=870924
Comment:
    Source: https://www.irs.gov/publications/p527
Illustrative allocation, not an appraisal. Land is not depreciable.</x:t>
        </x:r>
      </x:text>
    </x:comment>
    <x:comment ref="B19" authorId="3">
      <x:text>
        <x:r>
          <x:t>[Threaded comment]
Your version of Excel allows you to read this threaded comment; however, any edits to it will get removed if the file is opened in a newer version of Excel. Learn more: https://go.microsoft.com/fwlink/?linkid=870924
Comment:
    Source: https://www.irs.gov/publications/p527
Only basis-eligible costs, not all cash closing costs.</x:t>
        </x:r>
      </x:text>
    </x:comment>
    <x:comment ref="B21" authorId="4">
      <x:text>
        <x:r>
          <x:t>[Threaded comment]
Your version of Excel allows you to read this threaded comment; however, any edits to it will get removed if the file is opened in a newer version of Excel. Learn more: https://go.microsoft.com/fwlink/?linkid=870924
Comment:
    Source: https://www.irs.gov/publications/p527
Signed adjustment to remove ineligible costs or add eligible capitalized basis.</x:t>
        </x:r>
      </x:text>
    </x:comment>
    <x:comment ref="B22" authorId="5">
      <x:text>
        <x:r>
          <x:t>[Threaded comment]
Your version of Excel allows you to read this threaded comment; however, any edits to it will get removed if the file is opened in a newer version of Excel. Learn more: https://go.microsoft.com/fwlink/?linkid=870924
Comment:
    Source: https://www.irs.gov/publications/p946
Illustrative share of depreciable real-estate basis; not a typical or promised result.</x:t>
        </x:r>
      </x:text>
    </x:comment>
    <x:comment ref="B24" authorId="6">
      <x:text>
        <x:r>
          <x:t>[Threaded comment]
Your version of Excel allows you to read this threaded comment; however, any edits to it will get removed if the file is opened in a newer version of Excel. Learn more: https://go.microsoft.com/fwlink/?linkid=870924
Comment:
    Source: https://www.irs.gov/publications/p946
Class shares must total 100%. Study-specific asset classification.</x:t>
        </x:r>
      </x:text>
    </x:comment>
    <x:comment ref="B25" authorId="7">
      <x:text>
        <x:r>
          <x:t>[Threaded comment]
Your version of Excel allows you to read this threaded comment; however, any edits to it will get removed if the file is opened in a newer version of Excel. Learn more: https://go.microsoft.com/fwlink/?linkid=870924
Comment:
    Source: https://www.irs.gov/publications/p946
Class shares must total 100%.</x:t>
        </x:r>
      </x:text>
    </x:comment>
    <x:comment ref="B26" authorId="8">
      <x:text>
        <x:r>
          <x:t>[Threaded comment]
Your version of Excel allows you to read this threaded comment; however, any edits to it will get removed if the file is opened in a newer version of Excel. Learn more: https://go.microsoft.com/fwlink/?linkid=870924
Comment:
    Source: https://www.irs.gov/publications/p946
Class shares must total 100%.</x:t>
        </x:r>
      </x:text>
    </x:comment>
    <x:comment ref="B27" authorId="9">
      <x:text>
        <x:r>
          <x:t>[Threaded comment]
Your version of Excel allows you to read this threaded comment; however, any edits to it will get removed if the file is opened in a newer version of Excel. Learn more: https://go.microsoft.com/fwlink/?linkid=870924
Comment:
    Source: https://www.irs.gov/publications/p946
39 is a conservative example. CPA decides 27.5 vs 39; seven-day rule does not decide it.</x:t>
        </x:r>
      </x:text>
    </x:comment>
    <x:comment ref="B28" authorId="10">
      <x:text>
        <x:r>
          <x:t>[Threaded comment]
Your version of Excel allows you to read this threaded comment; however, any edits to it will get removed if the file is opened in a newer version of Excel. Learn more: https://go.microsoft.com/fwlink/?linkid=870924
Comment:
    Source: https://www.irs.gov/pub/irs-drop/n-26-11.pdf
Yes means CPA confirmed post-Jan-19-2025 acquisition, placed-in-service and qualified assets.</x:t>
        </x:r>
      </x:text>
    </x:comment>
    <x:comment ref="B29" authorId="11">
      <x:text>
        <x:r>
          <x:t>[Threaded comment]
Your version of Excel allows you to read this threaded comment; however, any edits to it will get removed if the file is opened in a newer version of Excel. Learn more: https://go.microsoft.com/fwlink/?linkid=870924
Comment:
    Source: https://www.irs.gov/pub/irs-drop/n-26-11.pdf
100% statutory rate for qualifying post-Jan-19-2025 property; elections may differ.</x:t>
        </x:r>
      </x:text>
    </x:comment>
    <x:comment ref="B30" authorId="12">
      <x:text>
        <x:r>
          <x:t>[Threaded comment]
Your version of Excel allows you to read this threaded comment; however, any edits to it will get removed if the file is opened in a newer version of Excel. Learn more: https://go.microsoft.com/fwlink/?linkid=870924
Comment:
    Source: https://www.irs.gov/publications/p946
Yes means asset classifications and allocations are professionally supported.</x:t>
        </x:r>
      </x:text>
    </x:comment>
    <x:comment ref="B32" authorId="13">
      <x:text>
        <x:r>
          <x:t>[Threaded comment]
Your version of Excel allows you to read this threaded comment; however, any edits to it will get removed if the file is opened in a newer version of Excel. Learn more: https://go.microsoft.com/fwlink/?linkid=870924
Comment:
    Source: https://www.irs.gov/publications/p946
No double count: furniture is outside the real-estate cost-seg basis.</x:t>
        </x:r>
      </x:text>
    </x:comment>
    <x:comment ref="B33" authorId="14">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Illustrative marginal rate; tax brackets, credits and phaseouts are not modeled.</x:t>
        </x:r>
      </x:text>
    </x:comment>
    <x:comment ref="B34" authorId="15">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Illustrative rate only. No federal deduction for state tax is assumed.</x:t>
        </x:r>
      </x:text>
    </x:comment>
    <x:comment ref="B35" authorId="16">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State impact is not modeled until Yes. Federal conformity is not automatic.</x:t>
        </x:r>
      </x:text>
    </x:comment>
    <x:comment ref="B36" authorId="17">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Enter the state-specific amount from your CPA; not copied from federal depreciation.</x:t>
        </x:r>
      </x:text>
    </x:comment>
    <x:comment ref="B37" authorId="18">
      <x:text>
        <x:r>
          <x:t>[Threaded comment]
Your version of Excel allows you to read this threaded comment; however, any edits to it will get removed if the file is opened in a newer version of Excel. Learn more: https://go.microsoft.com/fwlink/?linkid=870924
Comment:
    Source: https://www.irs.gov/publications/p925
Requires facts and records; ownership or 100 hours alone is not enough.</x:t>
        </x:r>
      </x:text>
    </x:comment>
    <x:comment ref="B38" authorId="19">
      <x:text>
        <x:r>
          <x:t>[Threaded comment]
Your version of Excel allows you to read this threaded comment; however, any edits to it will get removed if the file is opened in a newer version of Excel. Learn more: https://go.microsoft.com/fwlink/?linkid=870924
Comment:
    Source: https://www.irs.gov/publications/p925
CPA confirms STR classification, basis, at-risk, passive and excess-business-loss limits.</x:t>
        </x:r>
      </x:text>
    </x:comment>
    <x:comment ref="B39" authorId="20">
      <x:text>
        <x:r>
          <x:t>[Threaded comment]
Your version of Excel allows you to read this threaded comment; however, any edits to it will get removed if the file is opened in a newer version of Excel. Learn more: https://go.microsoft.com/fwlink/?linkid=870924
Comment:
    Source: https://www.irs.gov/publications/p925
Maximum currently usable deduction dollars after all limits; zero until confirmed.</x:t>
        </x:r>
      </x:text>
    </x:comment>
    <x:comment ref="B40" authorId="21">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State loss rules reviewed separately.</x:t>
        </x:r>
      </x:text>
    </x:comment>
    <x:comment ref="B41" authorId="22">
      <x:text>
        <x:r>
          <x:t>[Threaded comment]
Your version of Excel allows you to read this threaded comment; however, any edits to it will get removed if the file is opened in a newer version of Excel. Learn more: https://go.microsoft.com/fwlink/?linkid=870924
Comment:
    Source: Illustrative teaching assumption, not a market quote. Replace with property-specific evidence.
Maximum currently usable state deduction dollars after limits.</x:t>
        </x:r>
      </x:text>
    </x:comment>
    <x:comment ref="B42" authorId="23">
      <x:text>
        <x:r>
          <x:t>[Threaded comment]
Your version of Excel allows you to read this threaded comment; however, any edits to it will get removed if the file is opened in a newer version of Excel. Learn more: https://go.microsoft.com/fwlink/?linkid=870924
Comment:
    Source: https://www.irs.gov/publications/p527
Signed. Add back unspent expense allowances; include other actual tax adjustments.</x:t>
        </x:r>
      </x:text>
    </x:comment>
    <x:comment ref="B45" authorId="24">
      <x:text>
        <x:r>
          <x:t>[Threaded comment]
Your version of Excel allows you to read this threaded comment; however, any edits to it will get removed if the file is opened in a newer version of Excel. Learn more: https://go.microsoft.com/fwlink/?linkid=870924
Comment:
    Source: https://www.irs.gov/publications/p946
Half-year GDS example; replace for a different required convention.</x:t>
        </x:r>
      </x:text>
    </x:comment>
    <x:comment ref="B46" authorId="25">
      <x:text>
        <x:r>
          <x:t>[Threaded comment]
Your version of Excel allows you to read this threaded comment; however, any edits to it will get removed if the file is opened in a newer version of Excel. Learn more: https://go.microsoft.com/fwlink/?linkid=870924
Comment:
    Source: https://www.irs.gov/publications/p946
Half-year GDS example; replace for mid-quarter / other treatment.</x:t>
        </x:r>
      </x:text>
    </x:comment>
    <x:comment ref="B47" authorId="26">
      <x:text>
        <x:r>
          <x:t>[Threaded comment]
Your version of Excel allows you to read this threaded comment; however, any edits to it will get removed if the file is opened in a newer version of Excel. Learn more: https://go.microsoft.com/fwlink/?linkid=870924
Comment:
    Source: https://www.irs.gov/publications/p946
Half-year GDS example.</x:t>
        </x:r>
      </x:text>
    </x:comment>
    <x:comment ref="B48" authorId="27">
      <x:text>
        <x:r>
          <x:t>[Threaded comment]
Your version of Excel allows you to read this threaded comment; however, any edits to it will get removed if the file is opened in a newer version of Excel. Learn more: https://go.microsoft.com/fwlink/?linkid=870924
Comment:
    Source: https://www.irs.gov/publications/p527
5-year half-year example; asset class and convention must be confirmed.</x:t>
        </x:r>
      </x:text>
    </x:comment>
    <x:comment ref="B49" authorId="28">
      <x:text>
        <x:r>
          <x:t>[Threaded comment]
Your version of Excel allows you to read this threaded comment; however, any edits to it will get removed if the file is opened in a newer version of Excel. Learn more: https://go.microsoft.com/fwlink/?linkid=870924
Comment:
    Source: https://www.irs.gov/publications/p946
Mid-quarter or ADS rules require CPA-supplied rates; this is not a tax-return engine.</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0">
    <x:numFmt numFmtId="200" formatCode="@"/>
    <x:numFmt numFmtId="201" formatCode="$#,##0;[Red]($#,##0);&quot;-&quot;"/>
    <x:numFmt numFmtId="202" formatCode="0.0%;[Red](0.0%);&quot;-&quot;"/>
    <x:numFmt numFmtId="203" formatCode="#,##0;[Red](#,##0);&quot;-&quot;"/>
    <x:numFmt numFmtId="204" formatCode="#,##0.0;[Red](#,##0.0);&quot;-&quot;"/>
    <x:numFmt numFmtId="205" formatCode="0.00&quot;x&quot;;[Red](0.00&quot;x&quot;);&quot;-&quot;"/>
    <x:numFmt numFmtId="206" formatCode="yyyy-mm-dd"/>
    <x:numFmt numFmtId="207" formatCode="#,##0.000;[Red](#,##0.000);&quot;-&quot;"/>
    <x:numFmt numFmtId="208" formatCode="$#,##0;[Red]($#,##0)"/>
    <x:numFmt numFmtId="209" formatCode="0.0%"/>
  </x:numFmts>
  <x:fonts count="36">
    <x:font>
      <x:sz val="11"/>
      <x:name val="Carlito"/>
    </x:font>
    <x:font>
      <x:sz val="11"/>
      <x:color rgb="FF132A3A"/>
      <x:name val="Calibri"/>
    </x:font>
    <x:font>
      <x:b/>
      <x:sz val="23"/>
      <x:color rgb="FFFFFFFF"/>
      <x:name val="Calibri"/>
    </x:font>
    <x:font>
      <x:sz val="11"/>
      <x:color rgb="FF132A3A"/>
      <x:name val="Calibri"/>
    </x:font>
    <x:font>
      <x:b/>
      <x:sz val="11"/>
      <x:color rgb="FFFFFFFF"/>
      <x:name val="Calibri"/>
    </x:font>
    <x:font>
      <x:sz val="11"/>
      <x:color rgb="FF0000FF"/>
      <x:name val="Calibri"/>
    </x:font>
    <x:font>
      <x:sz val="10"/>
      <x:color rgb="FF526572"/>
      <x:name val="Calibri"/>
    </x:font>
    <x:font>
      <x:b/>
      <x:sz val="22"/>
      <x:color rgb="FFFFFFFF"/>
      <x:name val="Calibri"/>
    </x:font>
    <x:font>
      <x:b/>
      <x:sz val="11"/>
      <x:color rgb="FF132A3A"/>
      <x:name val="Calibri"/>
    </x:font>
    <x:font>
      <x:sz val="11"/>
      <x:color rgb="FF008000"/>
      <x:name val="Calibri"/>
    </x:font>
    <x:font>
      <x:sz val="11"/>
      <x:color rgb="FF000000"/>
      <x:name val="Calibri"/>
    </x:font>
    <x:font>
      <x:b/>
      <x:sz val="11"/>
      <x:color rgb="FF000000"/>
      <x:name val="Calibri"/>
    </x:font>
    <x:font>
      <x:b/>
      <x:sz val="16"/>
      <x:color rgb="FF000000"/>
      <x:name val="Calibri"/>
    </x:font>
    <x:font>
      <x:sz val="10"/>
      <x:color rgb="FF132A3A"/>
      <x:name val="Calibri"/>
    </x:font>
    <x:font>
      <x:b/>
      <x:sz val="11"/>
      <x:color rgb="FF008000"/>
      <x:name val="Calibri"/>
    </x:font>
    <x:font>
      <x:b/>
      <x:sz val="13"/>
      <x:color rgb="FF132A3A"/>
      <x:name val="Calibri"/>
    </x:font>
    <x:font>
      <x:b/>
      <x:sz val="15"/>
      <x:color rgb="FF132A3A"/>
      <x:name val="Calibri"/>
    </x:font>
    <x:font>
      <x:sz val="10"/>
      <x:color rgb="FF132A3A"/>
      <x:name val="Aptos"/>
    </x:font>
    <x:font>
      <x:b/>
      <x:sz val="10"/>
      <x:color rgb="FF236642"/>
      <x:name val="Aptos"/>
    </x:font>
    <x:font>
      <x:b/>
      <x:sz val="10"/>
      <x:color rgb="FF1F2A24"/>
      <x:name val="Instrument Sans"/>
    </x:font>
    <x:font>
      <x:sz val="10"/>
      <x:color rgb="FF1F2A24"/>
      <x:name val="Instrument Sans"/>
    </x:font>
    <x:font>
      <x:b/>
      <x:sz val="18"/>
      <x:color rgb="FFFBF8F1"/>
      <x:name val="Newsreader"/>
    </x:font>
    <x:font>
      <x:i/>
      <x:sz val="9"/>
      <x:color rgb="FF4A5850"/>
      <x:name val="Instrument Sans"/>
    </x:font>
    <x:font>
      <x:b/>
      <x:sz val="10"/>
      <x:color rgb="FF16352A"/>
      <x:name val="Instrument Sans"/>
    </x:font>
    <x:font>
      <x:b/>
      <x:sz val="11"/>
      <x:color rgb="FF16352A"/>
      <x:name val="Instrument Sans"/>
    </x:font>
    <x:font>
      <x:i/>
      <x:sz val="9"/>
      <x:color rgb="FF8A6510"/>
      <x:name val="Instrument Sans"/>
    </x:font>
    <x:font>
      <x:b/>
      <x:i/>
      <x:sz val="9"/>
      <x:color rgb="FF8A6510"/>
      <x:name val="Instrument Sans"/>
    </x:font>
    <x:font>
      <x:b/>
      <x:sz val="9"/>
      <x:color rgb="FFFBF8F1"/>
      <x:name val="Instrument Sans"/>
    </x:font>
    <x:font>
      <x:b/>
      <x:sz val="9"/>
      <x:color rgb="FF16352A"/>
      <x:name val="Instrument Sans"/>
    </x:font>
    <x:font>
      <x:b/>
      <x:sz val="24"/>
      <x:color rgb="FFFBF8F1"/>
      <x:name val="Newsreader"/>
    </x:font>
    <x:font>
      <x:i/>
      <x:sz val="10"/>
      <x:color rgb="FF4A5850"/>
      <x:name val="Instrument Sans"/>
    </x:font>
    <x:font>
      <x:b/>
      <x:sz val="10"/>
      <x:color rgb="FFFBF8F1"/>
      <x:name val="Instrument Sans"/>
    </x:font>
    <x:font>
      <x:b/>
      <x:sz val="10"/>
      <x:color rgb="FF4A5850"/>
      <x:name val="Instrument Sans"/>
    </x:font>
    <x:font>
      <x:b/>
      <x:sz val="14"/>
      <x:color rgb="FF16352A"/>
      <x:name val="Newsreader"/>
    </x:font>
    <x:font>
      <x:b/>
      <x:sz val="9"/>
      <x:color rgb="FF8A6510"/>
      <x:name val="Instrument Sans"/>
    </x:font>
    <x:font>
      <x:sz val="9"/>
      <x:color rgb="FFB0503C"/>
      <x:name val="Instrument Sans"/>
    </x:font>
  </x:fonts>
  <x:fills count="16">
    <x:fill>
      <x:patternFill patternType="none"/>
    </x:fill>
    <x:fill>
      <x:patternFill patternType="gray125"/>
    </x:fill>
    <x:fill>
      <x:patternFill patternType="solid">
        <x:fgColor rgb="FF132A3A"/>
      </x:patternFill>
    </x:fill>
    <x:fill>
      <x:patternFill patternType="solid">
        <x:fgColor rgb="FFF2F5F7"/>
      </x:patternFill>
    </x:fill>
    <x:fill>
      <x:patternFill patternType="solid">
        <x:fgColor rgb="FF136F73"/>
      </x:patternFill>
    </x:fill>
    <x:fill>
      <x:patternFill patternType="solid">
        <x:fgColor rgb="FFEAF4F7"/>
      </x:patternFill>
    </x:fill>
    <x:fill>
      <x:patternFill patternType="solid">
        <x:fgColor rgb="FFFFF1CF"/>
      </x:patternFill>
    </x:fill>
    <x:fill>
      <x:patternFill patternType="solid">
        <x:fgColor rgb="FFFFFFFF"/>
      </x:patternFill>
    </x:fill>
    <x:fill>
      <x:patternFill patternType="solid">
        <x:fgColor rgb="FFE5F2E9"/>
      </x:patternFill>
    </x:fill>
    <x:fill>
      <x:patternFill patternType="solid">
        <x:fgColor rgb="FFFBF8F1"/>
      </x:patternFill>
    </x:fill>
    <x:fill>
      <x:patternFill patternType="solid">
        <x:fgColor rgb="FF16352A"/>
      </x:patternFill>
    </x:fill>
    <x:fill>
      <x:patternFill patternType="solid">
        <x:fgColor rgb="FFE4EFE5"/>
      </x:patternFill>
    </x:fill>
    <x:fill>
      <x:patternFill patternType="solid">
        <x:fgColor rgb="FFF3EDDF"/>
      </x:patternFill>
    </x:fill>
    <x:fill>
      <x:patternFill patternType="solid">
        <x:fgColor rgb="FFF6ECD3"/>
      </x:patternFill>
    </x:fill>
    <x:fill>
      <x:patternFill patternType="solid">
        <x:fgColor rgb="FF2F7D5B"/>
      </x:patternFill>
    </x:fill>
    <x:fill>
      <x:patternFill patternType="solid">
        <x:fgColor rgb="FFF6E4DD"/>
      </x:patternFill>
    </x:fill>
  </x:fills>
  <x:borders count="2">
    <x:border/>
    <x:border/>
  </x:borders>
  <x:cellStyleXfs count="1">
    <x:xf numFmtId="0" fontId="0" fillId="0" borderId="0"/>
  </x:cellStyleXfs>
  <x:cellXfs count="341">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1" xfId="0" applyNumberFormat="1" applyFont="1" applyFill="1" applyBorder="1"/>
    <x:xf numFmtId="0" fontId="1" fillId="0" borderId="1"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0" fontId="1" fillId="2" borderId="1" xfId="0" applyNumberFormat="1" applyFont="1" applyFill="1" applyBorder="1" applyAlignment="1">
      <x:alignment vertical="center" wrapText="1"/>
    </x:xf>
    <x:xf numFmtId="0" fontId="2" fillId="2" borderId="1"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3" fillId="3" borderId="0" xfId="0" applyNumberFormat="1" applyFont="1" applyFill="1" applyBorder="1" applyAlignment="1">
      <x:alignment vertical="center" wrapText="1"/>
    </x:xf>
    <x:xf numFmtId="0" fontId="1" fillId="3" borderId="1" xfId="0" applyNumberFormat="1" applyFont="1" applyFill="1" applyBorder="1" applyAlignment="1">
      <x:alignment vertical="center" wrapText="1"/>
    </x:xf>
    <x:xf numFmtId="0" fontId="3" fillId="3" borderId="1"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4" fillId="4" borderId="0" xfId="0" applyNumberFormat="1" applyFont="1" applyFill="1" applyBorder="1" applyAlignment="1">
      <x:alignment vertical="center" wrapText="1"/>
    </x:xf>
    <x:xf numFmtId="0" fontId="1" fillId="4" borderId="1" xfId="0" applyNumberFormat="1" applyFont="1" applyFill="1" applyBorder="1" applyAlignment="1">
      <x:alignment vertical="center" wrapText="1"/>
    </x:xf>
    <x:xf numFmtId="0" fontId="4" fillId="4" borderId="1"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0" fontId="1" fillId="0" borderId="1" xfId="0" applyNumberFormat="1" applyFont="1" applyFill="1" applyBorder="1" applyAlignment="1">
      <x:alignment vertical="center" wrapText="1"/>
    </x:xf>
    <x:xf numFmtId="200" fontId="1" fillId="5" borderId="0" xfId="0" applyNumberFormat="1" applyFont="1" applyFill="1" applyBorder="1" applyAlignment="1">
      <x:alignment vertical="center" wrapText="1"/>
    </x:xf>
    <x:xf numFmtId="200" fontId="1" fillId="5" borderId="1" xfId="0" applyNumberFormat="1" applyFont="1" applyFill="1" applyBorder="1" applyAlignment="1">
      <x:alignment vertical="center" wrapText="1"/>
    </x:xf>
    <x:xf numFmtId="200" fontId="5" fillId="5" borderId="0" xfId="0" applyNumberFormat="1" applyFont="1" applyFill="1" applyBorder="1" applyAlignment="1">
      <x:alignment vertical="center" wrapText="1"/>
    </x:xf>
    <x:xf numFmtId="200" fontId="5" fillId="5" borderId="1" xfId="0" applyNumberFormat="1" applyFont="1" applyFill="1" applyBorder="1" applyAlignment="1">
      <x:alignment vertical="center" wrapText="1"/>
    </x:xf>
    <x:xf numFmtId="0" fontId="6" fillId="0" borderId="0" xfId="0" applyNumberFormat="1" applyFont="1" applyFill="1" applyBorder="1" applyAlignment="1">
      <x:alignment vertical="center" wrapText="1"/>
    </x:xf>
    <x:xf numFmtId="0" fontId="6" fillId="0" borderId="1"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201" fontId="1" fillId="0" borderId="1" xfId="0" applyNumberFormat="1" applyFont="1" applyFill="1" applyBorder="1" applyAlignment="1">
      <x:alignment vertical="center" wrapText="1"/>
    </x:xf>
    <x:xf numFmtId="201" fontId="1" fillId="5" borderId="0" xfId="0" applyNumberFormat="1" applyFont="1" applyFill="1" applyBorder="1" applyAlignment="1">
      <x:alignment vertical="center" wrapText="1"/>
    </x:xf>
    <x:xf numFmtId="201" fontId="1" fillId="5" borderId="1" xfId="0" applyNumberFormat="1" applyFont="1" applyFill="1" applyBorder="1" applyAlignment="1">
      <x:alignment vertical="center" wrapText="1"/>
    </x:xf>
    <x:xf numFmtId="201" fontId="5" fillId="5" borderId="0" xfId="0" applyNumberFormat="1" applyFont="1" applyFill="1" applyBorder="1" applyAlignment="1">
      <x:alignment vertical="center" wrapText="1"/>
    </x:xf>
    <x:xf numFmtId="201" fontId="5" fillId="5" borderId="1" xfId="0" applyNumberFormat="1" applyFont="1" applyFill="1" applyBorder="1" applyAlignment="1">
      <x:alignment vertical="center" wrapText="1"/>
    </x:xf>
    <x:xf numFmtId="202" fontId="1" fillId="0" borderId="0" xfId="0" applyNumberFormat="1" applyFont="1" applyFill="1" applyBorder="1" applyAlignment="1">
      <x:alignment vertical="center" wrapText="1"/>
    </x:xf>
    <x:xf numFmtId="202" fontId="1" fillId="0" borderId="1" xfId="0" applyNumberFormat="1" applyFont="1" applyFill="1" applyBorder="1" applyAlignment="1">
      <x:alignment vertical="center" wrapText="1"/>
    </x:xf>
    <x:xf numFmtId="202" fontId="1" fillId="5" borderId="0" xfId="0" applyNumberFormat="1" applyFont="1" applyFill="1" applyBorder="1" applyAlignment="1">
      <x:alignment vertical="center" wrapText="1"/>
    </x:xf>
    <x:xf numFmtId="202" fontId="1" fillId="5" borderId="1" xfId="0" applyNumberFormat="1" applyFont="1" applyFill="1" applyBorder="1" applyAlignment="1">
      <x:alignment vertical="center" wrapText="1"/>
    </x:xf>
    <x:xf numFmtId="202" fontId="5" fillId="5" borderId="0" xfId="0" applyNumberFormat="1" applyFont="1" applyFill="1" applyBorder="1" applyAlignment="1">
      <x:alignment vertical="center" wrapText="1"/>
    </x:xf>
    <x:xf numFmtId="202" fontId="5" fillId="5" borderId="1" xfId="0" applyNumberFormat="1" applyFont="1" applyFill="1" applyBorder="1" applyAlignment="1">
      <x:alignment vertical="center" wrapText="1"/>
    </x:xf>
    <x:xf numFmtId="203" fontId="1" fillId="0" borderId="0" xfId="0" applyNumberFormat="1" applyFont="1" applyFill="1" applyBorder="1" applyAlignment="1">
      <x:alignment vertical="center" wrapText="1"/>
    </x:xf>
    <x:xf numFmtId="203" fontId="1" fillId="0" borderId="1" xfId="0" applyNumberFormat="1" applyFont="1" applyFill="1" applyBorder="1" applyAlignment="1">
      <x:alignment vertical="center" wrapText="1"/>
    </x:xf>
    <x:xf numFmtId="203" fontId="1" fillId="5" borderId="0" xfId="0" applyNumberFormat="1" applyFont="1" applyFill="1" applyBorder="1" applyAlignment="1">
      <x:alignment vertical="center" wrapText="1"/>
    </x:xf>
    <x:xf numFmtId="203" fontId="1" fillId="5" borderId="1" xfId="0" applyNumberFormat="1" applyFont="1" applyFill="1" applyBorder="1" applyAlignment="1">
      <x:alignment vertical="center" wrapText="1"/>
    </x:xf>
    <x:xf numFmtId="203" fontId="5" fillId="5" borderId="0" xfId="0" applyNumberFormat="1" applyFont="1" applyFill="1" applyBorder="1" applyAlignment="1">
      <x:alignment vertical="center" wrapText="1"/>
    </x:xf>
    <x:xf numFmtId="203" fontId="5" fillId="5" borderId="1" xfId="0" applyNumberFormat="1" applyFont="1" applyFill="1" applyBorder="1" applyAlignment="1">
      <x:alignment vertical="center" wrapText="1"/>
    </x:xf>
    <x:xf numFmtId="204" fontId="1" fillId="0" borderId="0" xfId="0" applyNumberFormat="1" applyFont="1" applyFill="1" applyBorder="1" applyAlignment="1">
      <x:alignment vertical="center" wrapText="1"/>
    </x:xf>
    <x:xf numFmtId="204" fontId="1" fillId="0" borderId="1" xfId="0" applyNumberFormat="1" applyFont="1" applyFill="1" applyBorder="1" applyAlignment="1">
      <x:alignment vertical="center" wrapText="1"/>
    </x:xf>
    <x:xf numFmtId="204" fontId="1" fillId="5" borderId="0" xfId="0" applyNumberFormat="1" applyFont="1" applyFill="1" applyBorder="1" applyAlignment="1">
      <x:alignment vertical="center" wrapText="1"/>
    </x:xf>
    <x:xf numFmtId="204" fontId="1" fillId="5" borderId="1" xfId="0" applyNumberFormat="1" applyFont="1" applyFill="1" applyBorder="1" applyAlignment="1">
      <x:alignment vertical="center" wrapText="1"/>
    </x:xf>
    <x:xf numFmtId="204" fontId="5" fillId="5" borderId="0" xfId="0" applyNumberFormat="1" applyFont="1" applyFill="1" applyBorder="1" applyAlignment="1">
      <x:alignment vertical="center" wrapText="1"/>
    </x:xf>
    <x:xf numFmtId="204" fontId="5" fillId="5" borderId="1" xfId="0" applyNumberFormat="1" applyFont="1" applyFill="1" applyBorder="1" applyAlignment="1">
      <x:alignment vertical="center" wrapText="1"/>
    </x:xf>
    <x:xf numFmtId="205" fontId="1" fillId="0" borderId="0" xfId="0" applyNumberFormat="1" applyFont="1" applyFill="1" applyBorder="1" applyAlignment="1">
      <x:alignment vertical="center" wrapText="1"/>
    </x:xf>
    <x:xf numFmtId="205" fontId="1" fillId="0" borderId="1" xfId="0" applyNumberFormat="1" applyFont="1" applyFill="1" applyBorder="1" applyAlignment="1">
      <x:alignment vertical="center" wrapText="1"/>
    </x:xf>
    <x:xf numFmtId="205" fontId="1" fillId="5" borderId="0" xfId="0" applyNumberFormat="1" applyFont="1" applyFill="1" applyBorder="1" applyAlignment="1">
      <x:alignment vertical="center" wrapText="1"/>
    </x:xf>
    <x:xf numFmtId="205" fontId="1" fillId="5" borderId="1" xfId="0" applyNumberFormat="1" applyFont="1" applyFill="1" applyBorder="1" applyAlignment="1">
      <x:alignment vertical="center" wrapText="1"/>
    </x:xf>
    <x:xf numFmtId="205" fontId="5" fillId="5" borderId="0" xfId="0" applyNumberFormat="1" applyFont="1" applyFill="1" applyBorder="1" applyAlignment="1">
      <x:alignment vertical="center" wrapText="1"/>
    </x:xf>
    <x:xf numFmtId="205" fontId="5" fillId="5" borderId="1" xfId="0" applyNumberFormat="1" applyFont="1" applyFill="1" applyBorder="1" applyAlignment="1">
      <x:alignment vertical="center" wrapText="1"/>
    </x:xf>
    <x:xf numFmtId="0" fontId="1" fillId="2" borderId="0" xfId="0" applyNumberFormat="1" applyFont="1" applyFill="1" applyBorder="1" applyAlignment="1">
      <x:alignment vertical="center"/>
    </x:xf>
    <x:xf numFmtId="0" fontId="7" fillId="2" borderId="0" xfId="0" applyNumberFormat="1" applyFont="1" applyFill="1" applyBorder="1" applyAlignment="1">
      <x:alignment vertical="center"/>
    </x:xf>
    <x:xf numFmtId="0" fontId="7" fillId="2" borderId="0" xfId="0" applyNumberFormat="1" applyFont="1" applyFill="1" applyBorder="1" applyAlignment="1">
      <x:alignment vertical="center" wrapText="1"/>
    </x:xf>
    <x:xf numFmtId="0" fontId="1" fillId="2" borderId="1" xfId="0" applyNumberFormat="1" applyFont="1" applyFill="1" applyBorder="1" applyAlignment="1">
      <x:alignment vertical="center"/>
    </x:xf>
    <x:xf numFmtId="0" fontId="7" fillId="2" borderId="1" xfId="0" applyNumberFormat="1" applyFont="1" applyFill="1" applyBorder="1" applyAlignment="1">
      <x:alignment vertical="center"/>
    </x:xf>
    <x:xf numFmtId="0" fontId="7" fillId="2" borderId="1" xfId="0" applyNumberFormat="1" applyFont="1" applyFill="1" applyBorder="1" applyAlignment="1">
      <x:alignment vertical="center" wrapText="1"/>
    </x:xf>
    <x:xf numFmtId="0" fontId="1" fillId="3" borderId="0" xfId="0" applyNumberFormat="1" applyFont="1" applyFill="1" applyBorder="1" applyAlignment="1">
      <x:alignment vertical="center"/>
    </x:xf>
    <x:xf numFmtId="0" fontId="3" fillId="3" borderId="0" xfId="0" applyNumberFormat="1" applyFont="1" applyFill="1" applyBorder="1" applyAlignment="1">
      <x:alignment vertical="center"/>
    </x:xf>
    <x:xf numFmtId="0" fontId="1" fillId="3" borderId="1" xfId="0" applyNumberFormat="1" applyFont="1" applyFill="1" applyBorder="1" applyAlignment="1">
      <x:alignment vertical="center"/>
    </x:xf>
    <x:xf numFmtId="0" fontId="3" fillId="3" borderId="1" xfId="0" applyNumberFormat="1" applyFont="1" applyFill="1" applyBorder="1" applyAlignment="1">
      <x:alignment vertical="center"/>
    </x:xf>
    <x:xf numFmtId="0" fontId="1" fillId="4" borderId="0" xfId="0" applyNumberFormat="1" applyFont="1" applyFill="1" applyBorder="1" applyAlignment="1">
      <x:alignment vertical="center"/>
    </x:xf>
    <x:xf numFmtId="0" fontId="4" fillId="4" borderId="0" xfId="0" applyNumberFormat="1" applyFont="1" applyFill="1" applyBorder="1" applyAlignment="1">
      <x:alignment vertical="center"/>
    </x:xf>
    <x:xf numFmtId="0" fontId="1" fillId="4" borderId="1" xfId="0" applyNumberFormat="1" applyFont="1" applyFill="1" applyBorder="1" applyAlignment="1">
      <x:alignment vertical="center"/>
    </x:xf>
    <x:xf numFmtId="0" fontId="4" fillId="4" borderId="1" xfId="0" applyNumberFormat="1" applyFont="1" applyFill="1" applyBorder="1" applyAlignment="1">
      <x:alignment vertical="center"/>
    </x:xf>
    <x:xf numFmtId="0" fontId="8" fillId="3" borderId="0" xfId="0" applyNumberFormat="1" applyFont="1" applyFill="1" applyBorder="1" applyAlignment="1">
      <x:alignment vertical="center"/>
    </x:xf>
    <x:xf numFmtId="0" fontId="8" fillId="3" borderId="0" xfId="0" applyNumberFormat="1" applyFont="1" applyFill="1" applyBorder="1" applyAlignment="1">
      <x:alignment vertical="center" wrapText="1"/>
    </x:xf>
    <x:xf numFmtId="0" fontId="8" fillId="3" borderId="1" xfId="0" applyNumberFormat="1" applyFont="1" applyFill="1" applyBorder="1" applyAlignment="1">
      <x:alignment vertical="center"/>
    </x:xf>
    <x:xf numFmtId="0" fontId="8" fillId="3" borderId="1" xfId="0" applyNumberFormat="1" applyFont="1" applyFill="1" applyBorder="1" applyAlignment="1">
      <x:alignment vertical="center" wrapText="1"/>
    </x:xf>
    <x:xf numFmtId="0" fontId="1" fillId="5" borderId="0" xfId="0" applyNumberFormat="1" applyFont="1" applyFill="1" applyBorder="1" applyAlignment="1">
      <x:alignment vertical="center"/>
    </x:xf>
    <x:xf numFmtId="0" fontId="5" fillId="5" borderId="0" xfId="0" applyNumberFormat="1" applyFont="1" applyFill="1" applyBorder="1" applyAlignment="1">
      <x:alignment vertical="center"/>
    </x:xf>
    <x:xf numFmtId="0" fontId="1" fillId="5" borderId="1" xfId="0" applyNumberFormat="1" applyFont="1" applyFill="1" applyBorder="1" applyAlignment="1">
      <x:alignment vertical="center"/>
    </x:xf>
    <x:xf numFmtId="0" fontId="5" fillId="5" borderId="1" xfId="0" applyNumberFormat="1" applyFont="1" applyFill="1" applyBorder="1" applyAlignment="1">
      <x:alignment vertical="center"/>
    </x:xf>
    <x:xf numFmtId="0" fontId="9" fillId="0" borderId="0" xfId="0" applyNumberFormat="1" applyFont="1" applyFill="1" applyBorder="1" applyAlignment="1">
      <x:alignment vertical="center"/>
    </x:xf>
    <x:xf numFmtId="0" fontId="9" fillId="0" borderId="1" xfId="0" applyNumberFormat="1" applyFont="1" applyFill="1" applyBorder="1" applyAlignment="1">
      <x:alignment vertical="center"/>
    </x:xf>
    <x:xf numFmtId="204" fontId="9" fillId="0" borderId="0" xfId="0" applyNumberFormat="1" applyFont="1" applyFill="1" applyBorder="1" applyAlignment="1">
      <x:alignment vertical="center"/>
    </x:xf>
    <x:xf numFmtId="204" fontId="9" fillId="0" borderId="1" xfId="0" applyNumberFormat="1" applyFont="1" applyFill="1" applyBorder="1" applyAlignment="1">
      <x:alignment vertical="center"/>
    </x:xf>
    <x:xf numFmtId="201" fontId="9" fillId="0" borderId="0" xfId="0" applyNumberFormat="1" applyFont="1" applyFill="1" applyBorder="1" applyAlignment="1">
      <x:alignment vertical="center"/>
    </x:xf>
    <x:xf numFmtId="201" fontId="9" fillId="0" borderId="1" xfId="0" applyNumberFormat="1" applyFont="1" applyFill="1" applyBorder="1" applyAlignment="1">
      <x:alignment vertical="center"/>
    </x:xf>
    <x:xf numFmtId="0" fontId="10" fillId="0" borderId="0" xfId="0" applyNumberFormat="1" applyFont="1" applyFill="1" applyBorder="1" applyAlignment="1">
      <x:alignment vertical="center"/>
    </x:xf>
    <x:xf numFmtId="0" fontId="10" fillId="0" borderId="1" xfId="0" applyNumberFormat="1" applyFont="1" applyFill="1" applyBorder="1" applyAlignment="1">
      <x:alignment vertical="center"/>
    </x:xf>
    <x:xf numFmtId="204" fontId="10" fillId="0" borderId="0" xfId="0" applyNumberFormat="1" applyFont="1" applyFill="1" applyBorder="1" applyAlignment="1">
      <x:alignment vertical="center"/>
    </x:xf>
    <x:xf numFmtId="204" fontId="10" fillId="0" borderId="1" xfId="0" applyNumberFormat="1" applyFont="1" applyFill="1" applyBorder="1" applyAlignment="1">
      <x:alignment vertical="center"/>
    </x:xf>
    <x:xf numFmtId="201" fontId="10" fillId="0" borderId="0" xfId="0" applyNumberFormat="1" applyFont="1" applyFill="1" applyBorder="1" applyAlignment="1">
      <x:alignment vertical="center"/>
    </x:xf>
    <x:xf numFmtId="201" fontId="10" fillId="0" borderId="1" xfId="0" applyNumberFormat="1" applyFont="1" applyFill="1" applyBorder="1" applyAlignment="1">
      <x:alignment vertical="center"/>
    </x:xf>
    <x:xf numFmtId="204" fontId="10" fillId="3" borderId="0" xfId="0" applyNumberFormat="1" applyFont="1" applyFill="1" applyBorder="1" applyAlignment="1">
      <x:alignment vertical="center"/>
    </x:xf>
    <x:xf numFmtId="201" fontId="10" fillId="3" borderId="0" xfId="0" applyNumberFormat="1" applyFont="1" applyFill="1" applyBorder="1" applyAlignment="1">
      <x:alignment vertical="center"/>
    </x:xf>
    <x:xf numFmtId="204" fontId="11" fillId="3" borderId="0" xfId="0" applyNumberFormat="1" applyFont="1" applyFill="1" applyBorder="1" applyAlignment="1">
      <x:alignment vertical="center"/>
    </x:xf>
    <x:xf numFmtId="201" fontId="11" fillId="3" borderId="0" xfId="0" applyNumberFormat="1" applyFont="1" applyFill="1" applyBorder="1" applyAlignment="1">
      <x:alignment vertical="center"/>
    </x:xf>
    <x:xf numFmtId="204" fontId="10" fillId="3" borderId="1" xfId="0" applyNumberFormat="1" applyFont="1" applyFill="1" applyBorder="1" applyAlignment="1">
      <x:alignment vertical="center"/>
    </x:xf>
    <x:xf numFmtId="201" fontId="10" fillId="3" borderId="1" xfId="0" applyNumberFormat="1" applyFont="1" applyFill="1" applyBorder="1" applyAlignment="1">
      <x:alignment vertical="center"/>
    </x:xf>
    <x:xf numFmtId="204" fontId="11" fillId="3" borderId="1" xfId="0" applyNumberFormat="1" applyFont="1" applyFill="1" applyBorder="1" applyAlignment="1">
      <x:alignment vertical="center"/>
    </x:xf>
    <x:xf numFmtId="201" fontId="11" fillId="3" borderId="1" xfId="0" applyNumberFormat="1" applyFont="1" applyFill="1" applyBorder="1" applyAlignment="1">
      <x:alignment vertical="center"/>
    </x:xf>
    <x:xf numFmtId="202" fontId="5" fillId="5" borderId="0" xfId="0" applyNumberFormat="1" applyFont="1" applyFill="1" applyBorder="1" applyAlignment="1">
      <x:alignment vertical="center"/>
    </x:xf>
    <x:xf numFmtId="202" fontId="5" fillId="5" borderId="1" xfId="0" applyNumberFormat="1" applyFont="1" applyFill="1" applyBorder="1" applyAlignment="1">
      <x:alignment vertical="center"/>
    </x:xf>
    <x:xf numFmtId="201" fontId="5" fillId="5" borderId="0" xfId="0" applyNumberFormat="1" applyFont="1" applyFill="1" applyBorder="1" applyAlignment="1">
      <x:alignment vertical="center"/>
    </x:xf>
    <x:xf numFmtId="201" fontId="5" fillId="5" borderId="1" xfId="0" applyNumberFormat="1" applyFont="1" applyFill="1" applyBorder="1" applyAlignment="1">
      <x:alignment vertical="center"/>
    </x:xf>
    <x:xf numFmtId="0" fontId="10" fillId="0" borderId="0" xfId="0" applyNumberFormat="1" applyFont="1" applyFill="1" applyBorder="1" applyAlignment="1">
      <x:alignment vertical="center" wrapText="1"/>
    </x:xf>
    <x:xf numFmtId="0" fontId="10" fillId="0" borderId="1" xfId="0" applyNumberFormat="1" applyFont="1" applyFill="1" applyBorder="1" applyAlignment="1">
      <x:alignment vertical="center" wrapText="1"/>
    </x:xf>
    <x:xf numFmtId="202" fontId="10" fillId="0" borderId="0" xfId="0" applyNumberFormat="1" applyFont="1" applyFill="1" applyBorder="1" applyAlignment="1">
      <x:alignment vertical="center" wrapText="1"/>
    </x:xf>
    <x:xf numFmtId="202" fontId="10" fillId="0" borderId="1" xfId="0" applyNumberFormat="1" applyFont="1" applyFill="1" applyBorder="1" applyAlignment="1">
      <x:alignment vertical="center" wrapText="1"/>
    </x:xf>
    <x:xf numFmtId="201" fontId="10" fillId="0" borderId="0" xfId="0" applyNumberFormat="1" applyFont="1" applyFill="1" applyBorder="1" applyAlignment="1">
      <x:alignment vertical="center" wrapText="1"/>
    </x:xf>
    <x:xf numFmtId="201" fontId="10" fillId="0" borderId="1" xfId="0" applyNumberFormat="1" applyFont="1" applyFill="1" applyBorder="1" applyAlignment="1">
      <x:alignment vertical="center" wrapText="1"/>
    </x:xf>
    <x:xf numFmtId="201" fontId="10" fillId="3" borderId="0" xfId="0" applyNumberFormat="1" applyFont="1" applyFill="1" applyBorder="1" applyAlignment="1">
      <x:alignment vertical="center" wrapText="1"/>
    </x:xf>
    <x:xf numFmtId="0" fontId="6" fillId="3" borderId="0" xfId="0" applyNumberFormat="1" applyFont="1" applyFill="1" applyBorder="1" applyAlignment="1">
      <x:alignment vertical="center" wrapText="1"/>
    </x:xf>
    <x:xf numFmtId="201" fontId="10" fillId="3" borderId="1" xfId="0" applyNumberFormat="1" applyFont="1" applyFill="1" applyBorder="1" applyAlignment="1">
      <x:alignment vertical="center" wrapText="1"/>
    </x:xf>
    <x:xf numFmtId="0" fontId="6" fillId="3" borderId="1" xfId="0" applyNumberFormat="1" applyFont="1" applyFill="1" applyBorder="1" applyAlignment="1">
      <x:alignment vertical="center" wrapText="1"/>
    </x:xf>
    <x:xf numFmtId="0" fontId="9" fillId="0" borderId="0" xfId="0" applyNumberFormat="1" applyFont="1" applyFill="1" applyBorder="1" applyAlignment="1">
      <x:alignment vertical="center" wrapText="1"/>
    </x:xf>
    <x:xf numFmtId="0" fontId="9" fillId="0" borderId="1" xfId="0" applyNumberFormat="1" applyFont="1" applyFill="1" applyBorder="1" applyAlignment="1">
      <x:alignment vertical="center" wrapText="1"/>
    </x:xf>
    <x:xf numFmtId="204" fontId="9" fillId="0" borderId="0" xfId="0" applyNumberFormat="1" applyFont="1" applyFill="1" applyBorder="1" applyAlignment="1">
      <x:alignment vertical="center" wrapText="1"/>
    </x:xf>
    <x:xf numFmtId="204" fontId="9" fillId="0" borderId="1" xfId="0" applyNumberFormat="1" applyFont="1" applyFill="1" applyBorder="1" applyAlignment="1">
      <x:alignment vertical="center" wrapText="1"/>
    </x:xf>
    <x:xf numFmtId="204" fontId="9" fillId="3" borderId="0" xfId="0" applyNumberFormat="1" applyFont="1" applyFill="1" applyBorder="1" applyAlignment="1">
      <x:alignment vertical="center" wrapText="1"/>
    </x:xf>
    <x:xf numFmtId="204" fontId="9" fillId="3" borderId="1" xfId="0" applyNumberFormat="1" applyFont="1" applyFill="1" applyBorder="1" applyAlignment="1">
      <x:alignment vertical="center" wrapText="1"/>
    </x:xf>
    <x:xf numFmtId="204" fontId="10" fillId="0" borderId="0" xfId="0" applyNumberFormat="1" applyFont="1" applyFill="1" applyBorder="1" applyAlignment="1">
      <x:alignment vertical="center" wrapText="1"/>
    </x:xf>
    <x:xf numFmtId="204" fontId="10" fillId="0" borderId="1" xfId="0" applyNumberFormat="1" applyFont="1" applyFill="1" applyBorder="1" applyAlignment="1">
      <x:alignment vertical="center" wrapText="1"/>
    </x:xf>
    <x:xf numFmtId="201" fontId="9" fillId="0" borderId="0" xfId="0" applyNumberFormat="1" applyFont="1" applyFill="1" applyBorder="1" applyAlignment="1">
      <x:alignment vertical="center" wrapText="1"/>
    </x:xf>
    <x:xf numFmtId="201" fontId="9" fillId="0" borderId="1" xfId="0" applyNumberFormat="1" applyFont="1" applyFill="1" applyBorder="1" applyAlignment="1">
      <x:alignment vertical="center" wrapText="1"/>
    </x:xf>
    <x:xf numFmtId="201" fontId="9" fillId="3" borderId="0" xfId="0" applyNumberFormat="1" applyFont="1" applyFill="1" applyBorder="1" applyAlignment="1">
      <x:alignment vertical="center" wrapText="1"/>
    </x:xf>
    <x:xf numFmtId="201" fontId="9" fillId="3" borderId="1" xfId="0" applyNumberFormat="1" applyFont="1" applyFill="1" applyBorder="1" applyAlignment="1">
      <x:alignment vertical="center" wrapText="1"/>
    </x:xf>
    <x:xf numFmtId="204" fontId="10" fillId="3" borderId="0" xfId="0" applyNumberFormat="1" applyFont="1" applyFill="1" applyBorder="1" applyAlignment="1">
      <x:alignment vertical="center" wrapText="1"/>
    </x:xf>
    <x:xf numFmtId="204" fontId="10" fillId="3" borderId="1" xfId="0" applyNumberFormat="1" applyFont="1" applyFill="1" applyBorder="1" applyAlignment="1">
      <x:alignment vertical="center" wrapText="1"/>
    </x:xf>
    <x:xf numFmtId="205" fontId="10" fillId="0" borderId="0" xfId="0" applyNumberFormat="1" applyFont="1" applyFill="1" applyBorder="1" applyAlignment="1">
      <x:alignment vertical="center" wrapText="1"/>
    </x:xf>
    <x:xf numFmtId="205" fontId="10" fillId="0" borderId="1" xfId="0" applyNumberFormat="1" applyFont="1" applyFill="1" applyBorder="1" applyAlignment="1">
      <x:alignment vertical="center" wrapText="1"/>
    </x:xf>
    <x:xf numFmtId="205" fontId="10" fillId="3" borderId="0" xfId="0" applyNumberFormat="1" applyFont="1" applyFill="1" applyBorder="1" applyAlignment="1">
      <x:alignment vertical="center" wrapText="1"/>
    </x:xf>
    <x:xf numFmtId="205" fontId="10" fillId="3" borderId="1" xfId="0" applyNumberFormat="1" applyFont="1" applyFill="1" applyBorder="1" applyAlignment="1">
      <x:alignment vertical="center" wrapText="1"/>
    </x:xf>
    <x:xf numFmtId="202" fontId="10" fillId="3" borderId="0" xfId="0" applyNumberFormat="1" applyFont="1" applyFill="1" applyBorder="1" applyAlignment="1">
      <x:alignment vertical="center" wrapText="1"/>
    </x:xf>
    <x:xf numFmtId="202" fontId="10" fillId="3" borderId="1" xfId="0" applyNumberFormat="1" applyFont="1" applyFill="1" applyBorder="1" applyAlignment="1">
      <x:alignment vertical="center" wrapText="1"/>
    </x:xf>
    <x:xf numFmtId="200" fontId="10" fillId="0" borderId="0" xfId="0" applyNumberFormat="1" applyFont="1" applyFill="1" applyBorder="1" applyAlignment="1">
      <x:alignment vertical="center" wrapText="1"/>
    </x:xf>
    <x:xf numFmtId="200" fontId="10" fillId="0" borderId="1" xfId="0" applyNumberFormat="1" applyFont="1" applyFill="1" applyBorder="1" applyAlignment="1">
      <x:alignment vertical="center" wrapText="1"/>
    </x:xf>
    <x:xf numFmtId="200" fontId="10" fillId="3" borderId="0" xfId="0" applyNumberFormat="1" applyFont="1" applyFill="1" applyBorder="1" applyAlignment="1">
      <x:alignment vertical="center" wrapText="1"/>
    </x:xf>
    <x:xf numFmtId="200" fontId="10" fillId="3" borderId="1" xfId="0" applyNumberFormat="1" applyFont="1" applyFill="1" applyBorder="1" applyAlignment="1">
      <x:alignment vertical="center" wrapText="1"/>
    </x:xf>
    <x:xf numFmtId="201" fontId="12" fillId="3" borderId="0" xfId="0" applyNumberFormat="1" applyFont="1" applyFill="1" applyBorder="1" applyAlignment="1">
      <x:alignment vertical="center" wrapText="1"/>
    </x:xf>
    <x:xf numFmtId="201" fontId="12" fillId="3" borderId="1" xfId="0" applyNumberFormat="1" applyFont="1" applyFill="1" applyBorder="1" applyAlignment="1">
      <x:alignment vertical="center" wrapText="1"/>
    </x:xf>
    <x:xf numFmtId="202" fontId="12" fillId="0" borderId="0" xfId="0" applyNumberFormat="1" applyFont="1" applyFill="1" applyBorder="1" applyAlignment="1">
      <x:alignment vertical="center" wrapText="1"/>
    </x:xf>
    <x:xf numFmtId="202" fontId="12" fillId="0" borderId="1"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0" fontId="13" fillId="5" borderId="0" xfId="0" applyNumberFormat="1" applyFont="1" applyFill="1" applyBorder="1" applyAlignment="1">
      <x:alignment vertical="center" wrapText="1"/>
    </x:xf>
    <x:xf numFmtId="0" fontId="1" fillId="5" borderId="1" xfId="0" applyNumberFormat="1" applyFont="1" applyFill="1" applyBorder="1" applyAlignment="1">
      <x:alignment vertical="center" wrapText="1"/>
    </x:xf>
    <x:xf numFmtId="0" fontId="13" fillId="5" borderId="1" xfId="0" applyNumberFormat="1" applyFont="1" applyFill="1" applyBorder="1" applyAlignment="1">
      <x:alignment vertical="center" wrapText="1"/>
    </x:xf>
    <x:xf numFmtId="200" fontId="10" fillId="6" borderId="0" xfId="0" applyNumberFormat="1" applyFont="1" applyFill="1" applyBorder="1" applyAlignment="1">
      <x:alignment vertical="center" wrapText="1"/>
    </x:xf>
    <x:xf numFmtId="0" fontId="1" fillId="6" borderId="0" xfId="0" applyNumberFormat="1" applyFont="1" applyFill="1" applyBorder="1" applyAlignment="1">
      <x:alignment vertical="center" wrapText="1"/>
    </x:xf>
    <x:xf numFmtId="200" fontId="10" fillId="6" borderId="1" xfId="0" applyNumberFormat="1" applyFont="1" applyFill="1" applyBorder="1" applyAlignment="1">
      <x:alignment vertical="center" wrapText="1"/>
    </x:xf>
    <x:xf numFmtId="0" fontId="1" fillId="6" borderId="1" xfId="0" applyNumberFormat="1" applyFont="1" applyFill="1" applyBorder="1" applyAlignment="1">
      <x:alignment vertical="center" wrapText="1"/>
    </x:xf>
    <x:xf numFmtId="0" fontId="1" fillId="0" borderId="0" xfId="0" applyNumberFormat="1" applyFont="1" applyFill="1" applyBorder="1" applyAlignment="1">
      <x:alignment wrapText="1"/>
    </x:xf>
    <x:xf numFmtId="0" fontId="1" fillId="0" borderId="1" xfId="0" applyNumberFormat="1" applyFont="1" applyFill="1" applyBorder="1" applyAlignment="1">
      <x:alignment wrapText="1"/>
    </x:xf>
    <x:xf numFmtId="202" fontId="9" fillId="0" borderId="0" xfId="0" applyNumberFormat="1" applyFont="1" applyFill="1" applyBorder="1" applyAlignment="1">
      <x:alignment vertical="center" wrapText="1"/>
    </x:xf>
    <x:xf numFmtId="202" fontId="9" fillId="0" borderId="1" xfId="0" applyNumberFormat="1" applyFont="1" applyFill="1" applyBorder="1" applyAlignment="1">
      <x:alignment vertical="center" wrapText="1"/>
    </x:xf>
    <x:xf numFmtId="203" fontId="1" fillId="3" borderId="0" xfId="0" applyNumberFormat="1" applyFont="1" applyFill="1" applyBorder="1" applyAlignment="1">
      <x:alignment vertical="center" wrapText="1"/>
    </x:xf>
    <x:xf numFmtId="202" fontId="9" fillId="3" borderId="0" xfId="0" applyNumberFormat="1" applyFont="1" applyFill="1" applyBorder="1" applyAlignment="1">
      <x:alignment vertical="center" wrapText="1"/>
    </x:xf>
    <x:xf numFmtId="203" fontId="8" fillId="3" borderId="0" xfId="0" applyNumberFormat="1" applyFont="1" applyFill="1" applyBorder="1" applyAlignment="1">
      <x:alignment vertical="center" wrapText="1"/>
    </x:xf>
    <x:xf numFmtId="201" fontId="11" fillId="3" borderId="0" xfId="0" applyNumberFormat="1" applyFont="1" applyFill="1" applyBorder="1" applyAlignment="1">
      <x:alignment vertical="center" wrapText="1"/>
    </x:xf>
    <x:xf numFmtId="202" fontId="14" fillId="3" borderId="0" xfId="0" applyNumberFormat="1" applyFont="1" applyFill="1" applyBorder="1" applyAlignment="1">
      <x:alignment vertical="center" wrapText="1"/>
    </x:xf>
    <x:xf numFmtId="201" fontId="14" fillId="3" borderId="0" xfId="0" applyNumberFormat="1" applyFont="1" applyFill="1" applyBorder="1" applyAlignment="1">
      <x:alignment vertical="center" wrapText="1"/>
    </x:xf>
    <x:xf numFmtId="203" fontId="1" fillId="3" borderId="1" xfId="0" applyNumberFormat="1" applyFont="1" applyFill="1" applyBorder="1" applyAlignment="1">
      <x:alignment vertical="center" wrapText="1"/>
    </x:xf>
    <x:xf numFmtId="202" fontId="9" fillId="3" borderId="1" xfId="0" applyNumberFormat="1" applyFont="1" applyFill="1" applyBorder="1" applyAlignment="1">
      <x:alignment vertical="center" wrapText="1"/>
    </x:xf>
    <x:xf numFmtId="203" fontId="8" fillId="3" borderId="1" xfId="0" applyNumberFormat="1" applyFont="1" applyFill="1" applyBorder="1" applyAlignment="1">
      <x:alignment vertical="center" wrapText="1"/>
    </x:xf>
    <x:xf numFmtId="201" fontId="11" fillId="3" borderId="1" xfId="0" applyNumberFormat="1" applyFont="1" applyFill="1" applyBorder="1" applyAlignment="1">
      <x:alignment vertical="center" wrapText="1"/>
    </x:xf>
    <x:xf numFmtId="202" fontId="14" fillId="3" borderId="1" xfId="0" applyNumberFormat="1" applyFont="1" applyFill="1" applyBorder="1" applyAlignment="1">
      <x:alignment vertical="center" wrapText="1"/>
    </x:xf>
    <x:xf numFmtId="201" fontId="14" fillId="3" borderId="1" xfId="0" applyNumberFormat="1" applyFont="1" applyFill="1" applyBorder="1" applyAlignment="1">
      <x:alignment vertical="center" wrapText="1"/>
    </x:xf>
    <x:xf numFmtId="0" fontId="3" fillId="5" borderId="0" xfId="0" applyNumberFormat="1" applyFont="1" applyFill="1" applyBorder="1" applyAlignment="1">
      <x:alignment vertical="center" wrapText="1"/>
    </x:xf>
    <x:xf numFmtId="0" fontId="3" fillId="5" borderId="1" xfId="0" applyNumberFormat="1" applyFont="1" applyFill="1" applyBorder="1" applyAlignment="1">
      <x:alignment vertical="center" wrapText="1"/>
    </x:xf>
    <x:xf numFmtId="206" fontId="1" fillId="0" borderId="0" xfId="0" applyNumberFormat="1" applyFont="1" applyFill="1" applyBorder="1" applyAlignment="1">
      <x:alignment vertical="center" wrapText="1"/>
    </x:xf>
    <x:xf numFmtId="206" fontId="1" fillId="0" borderId="1" xfId="0" applyNumberFormat="1" applyFont="1" applyFill="1" applyBorder="1" applyAlignment="1">
      <x:alignment vertical="center" wrapText="1"/>
    </x:xf>
    <x:xf numFmtId="206" fontId="1" fillId="5" borderId="0" xfId="0" applyNumberFormat="1" applyFont="1" applyFill="1" applyBorder="1" applyAlignment="1">
      <x:alignment vertical="center" wrapText="1"/>
    </x:xf>
    <x:xf numFmtId="206" fontId="1" fillId="5" borderId="1" xfId="0" applyNumberFormat="1" applyFont="1" applyFill="1" applyBorder="1" applyAlignment="1">
      <x:alignment vertical="center" wrapText="1"/>
    </x:xf>
    <x:xf numFmtId="206" fontId="5" fillId="5" borderId="0" xfId="0" applyNumberFormat="1" applyFont="1" applyFill="1" applyBorder="1" applyAlignment="1">
      <x:alignment vertical="center" wrapText="1"/>
    </x:xf>
    <x:xf numFmtId="206" fontId="5" fillId="5" borderId="1" xfId="0" applyNumberFormat="1" applyFont="1" applyFill="1" applyBorder="1" applyAlignment="1">
      <x:alignment vertical="center" wrapText="1"/>
    </x:xf>
    <x:xf numFmtId="203" fontId="10" fillId="0" borderId="0" xfId="0" applyNumberFormat="1" applyFont="1" applyFill="1" applyBorder="1" applyAlignment="1">
      <x:alignment vertical="center" wrapText="1"/>
    </x:xf>
    <x:xf numFmtId="203" fontId="10" fillId="0" borderId="1" xfId="0" applyNumberFormat="1" applyFont="1" applyFill="1" applyBorder="1" applyAlignment="1">
      <x:alignment vertical="center" wrapText="1"/>
    </x:xf>
    <x:xf numFmtId="203" fontId="10" fillId="3" borderId="0" xfId="0" applyNumberFormat="1" applyFont="1" applyFill="1" applyBorder="1" applyAlignment="1">
      <x:alignment vertical="center" wrapText="1"/>
    </x:xf>
    <x:xf numFmtId="203" fontId="10" fillId="3" borderId="1" xfId="0" applyNumberFormat="1" applyFont="1" applyFill="1" applyBorder="1" applyAlignment="1">
      <x:alignment vertical="center" wrapText="1"/>
    </x:xf>
    <x:xf numFmtId="0" fontId="15" fillId="5" borderId="0" xfId="0" applyNumberFormat="1" applyFont="1" applyFill="1" applyBorder="1" applyAlignment="1">
      <x:alignment vertical="center" wrapText="1"/>
    </x:xf>
    <x:xf numFmtId="0" fontId="15" fillId="5" borderId="1" xfId="0" applyNumberFormat="1" applyFont="1" applyFill="1" applyBorder="1" applyAlignment="1">
      <x:alignment vertical="center" wrapText="1"/>
    </x:xf>
    <x:xf numFmtId="0" fontId="13" fillId="3" borderId="0" xfId="0" applyNumberFormat="1" applyFont="1" applyFill="1" applyBorder="1" applyAlignment="1">
      <x:alignment vertical="center" wrapText="1"/>
    </x:xf>
    <x:xf numFmtId="0" fontId="13" fillId="3" borderId="1" xfId="0" applyNumberFormat="1" applyFont="1" applyFill="1" applyBorder="1" applyAlignment="1">
      <x:alignment vertical="center" wrapText="1"/>
    </x:xf>
    <x:xf numFmtId="0" fontId="1" fillId="7" borderId="0" xfId="0" applyNumberFormat="1" applyFont="1" applyFill="1" applyBorder="1" applyAlignment="1">
      <x:alignment vertical="center" wrapText="1"/>
    </x:xf>
    <x:xf numFmtId="0" fontId="3" fillId="7" borderId="0" xfId="0" applyNumberFormat="1" applyFont="1" applyFill="1" applyBorder="1" applyAlignment="1">
      <x:alignment vertical="center" wrapText="1"/>
    </x:xf>
    <x:xf numFmtId="0" fontId="1" fillId="7" borderId="1" xfId="0" applyNumberFormat="1" applyFont="1" applyFill="1" applyBorder="1" applyAlignment="1">
      <x:alignment vertical="center" wrapText="1"/>
    </x:xf>
    <x:xf numFmtId="0" fontId="3" fillId="7" borderId="1" xfId="0" applyNumberFormat="1" applyFont="1" applyFill="1" applyBorder="1" applyAlignment="1">
      <x:alignment vertical="center" wrapText="1"/>
    </x:xf>
    <x:xf numFmtId="0" fontId="16" fillId="5" borderId="0" xfId="0" applyNumberFormat="1" applyFont="1" applyFill="1" applyBorder="1" applyAlignment="1">
      <x:alignment vertical="center" wrapText="1"/>
    </x:xf>
    <x:xf numFmtId="0" fontId="16" fillId="5" borderId="1" xfId="0" applyNumberFormat="1" applyFont="1" applyFill="1" applyBorder="1" applyAlignment="1">
      <x:alignment vertical="center" wrapText="1"/>
    </x:xf>
    <x:xf numFmtId="0" fontId="17" fillId="0" borderId="0" xfId="0" applyNumberFormat="1" applyFont="1" applyFill="1" applyBorder="1" applyAlignment="1">
      <x:alignment vertical="center" wrapText="1"/>
    </x:xf>
    <x:xf numFmtId="0" fontId="17" fillId="0" borderId="1" xfId="0" applyNumberFormat="1" applyFont="1" applyFill="1" applyBorder="1" applyAlignment="1">
      <x:alignment vertical="center" wrapText="1"/>
    </x:xf>
    <x:xf numFmtId="207" fontId="17" fillId="0" borderId="0" xfId="0" applyNumberFormat="1" applyFont="1" applyFill="1" applyBorder="1" applyAlignment="1">
      <x:alignment vertical="center" wrapText="1"/>
    </x:xf>
    <x:xf numFmtId="207" fontId="17" fillId="0" borderId="1" xfId="0" applyNumberFormat="1" applyFont="1" applyFill="1" applyBorder="1" applyAlignment="1">
      <x:alignment vertical="center" wrapText="1"/>
    </x:xf>
    <x:xf numFmtId="0" fontId="17" fillId="8" borderId="0" xfId="0" applyNumberFormat="1" applyFont="1" applyFill="1" applyBorder="1" applyAlignment="1">
      <x:alignment vertical="center" wrapText="1"/>
    </x:xf>
    <x:xf numFmtId="0" fontId="18" fillId="8" borderId="0" xfId="0" applyNumberFormat="1" applyFont="1" applyFill="1" applyBorder="1" applyAlignment="1">
      <x:alignment vertical="center" wrapText="1"/>
    </x:xf>
    <x:xf numFmtId="0" fontId="0" fillId="0" borderId="0" xfId="0" applyNumberFormat="1" applyFont="1" applyFill="1" applyBorder="1"/>
    <x:xf numFmtId="0" fontId="2" fillId="9" borderId="0" xfId="0" applyNumberFormat="1" applyFont="1" applyFill="1" applyBorder="1" applyAlignment="1">
      <x:alignment vertical="center" wrapText="1"/>
    </x:xf>
    <x:xf numFmtId="0" fontId="1" fillId="9" borderId="0" xfId="0" applyNumberFormat="1" applyFont="1" applyFill="1" applyBorder="1" applyAlignment="1">
      <x:alignment vertical="center" wrapText="1"/>
    </x:xf>
    <x:xf numFmtId="0" fontId="15" fillId="9" borderId="0" xfId="0" applyNumberFormat="1" applyFont="1" applyFill="1" applyBorder="1" applyAlignment="1">
      <x:alignment vertical="center" wrapText="1"/>
    </x:xf>
    <x:xf numFmtId="0" fontId="4" fillId="9" borderId="0" xfId="0" applyNumberFormat="1" applyFont="1" applyFill="1" applyBorder="1" applyAlignment="1">
      <x:alignment vertical="center" wrapText="1"/>
    </x:xf>
    <x:xf numFmtId="0" fontId="19" fillId="9" borderId="0" xfId="0" applyNumberFormat="1" applyFont="1" applyFill="1" applyBorder="1" applyAlignment="1">
      <x:alignment vertical="center" wrapText="1"/>
    </x:xf>
    <x:xf numFmtId="0" fontId="20" fillId="9" borderId="0" xfId="0" applyNumberFormat="1" applyFont="1" applyFill="1" applyBorder="1" applyAlignment="1">
      <x:alignment vertical="center" wrapText="1"/>
    </x:xf>
    <x:xf numFmtId="0" fontId="19" fillId="10" borderId="0" xfId="0" applyNumberFormat="1" applyFont="1" applyFill="1" applyBorder="1" applyAlignment="1">
      <x:alignment vertical="center" wrapText="1"/>
    </x:xf>
    <x:xf numFmtId="0" fontId="21" fillId="10" borderId="0" xfId="0" applyNumberFormat="1" applyFont="1" applyFill="1" applyBorder="1" applyAlignment="1">
      <x:alignment vertical="center" wrapText="1"/>
    </x:xf>
    <x:xf numFmtId="0" fontId="22" fillId="9" borderId="0" xfId="0" applyNumberFormat="1" applyFont="1" applyFill="1" applyBorder="1" applyAlignment="1">
      <x:alignment vertical="center" wrapText="1"/>
    </x:xf>
    <x:xf numFmtId="201" fontId="12" fillId="9" borderId="0" xfId="0" applyNumberFormat="1" applyFont="1" applyFill="1" applyBorder="1" applyAlignment="1">
      <x:alignment vertical="center" wrapText="1"/>
    </x:xf>
    <x:xf numFmtId="202" fontId="12" fillId="9" borderId="0" xfId="0" applyNumberFormat="1" applyFont="1" applyFill="1" applyBorder="1" applyAlignment="1">
      <x:alignment vertical="center" wrapText="1"/>
    </x:xf>
    <x:xf numFmtId="200" fontId="10" fillId="9" borderId="0" xfId="0" applyNumberFormat="1" applyFont="1" applyFill="1" applyBorder="1" applyAlignment="1">
      <x:alignment vertical="center" wrapText="1"/>
    </x:xf>
    <x:xf numFmtId="0" fontId="13" fillId="9" borderId="0" xfId="0" applyNumberFormat="1" applyFont="1" applyFill="1" applyBorder="1" applyAlignment="1">
      <x:alignment vertical="center" wrapText="1"/>
    </x:xf>
    <x:xf numFmtId="200" fontId="5" fillId="9" borderId="0" xfId="0" applyNumberFormat="1" applyFont="1" applyFill="1" applyBorder="1" applyAlignment="1">
      <x:alignment vertical="center" wrapText="1"/>
    </x:xf>
    <x:xf numFmtId="0" fontId="6" fillId="9" borderId="0" xfId="0" applyNumberFormat="1" applyFont="1" applyFill="1" applyBorder="1" applyAlignment="1">
      <x:alignment vertical="center" wrapText="1"/>
    </x:xf>
    <x:xf numFmtId="202" fontId="10" fillId="9" borderId="0" xfId="0" applyNumberFormat="1" applyFont="1" applyFill="1" applyBorder="1" applyAlignment="1">
      <x:alignment vertical="center" wrapText="1"/>
    </x:xf>
    <x:xf numFmtId="201" fontId="10" fillId="9" borderId="0" xfId="0" applyNumberFormat="1" applyFont="1" applyFill="1" applyBorder="1" applyAlignment="1">
      <x:alignment vertical="center" wrapText="1"/>
    </x:xf>
    <x:xf numFmtId="204" fontId="9" fillId="9" borderId="0" xfId="0" applyNumberFormat="1" applyFont="1" applyFill="1" applyBorder="1" applyAlignment="1">
      <x:alignment vertical="center" wrapText="1"/>
    </x:xf>
    <x:xf numFmtId="203" fontId="5" fillId="9" borderId="0" xfId="0" applyNumberFormat="1" applyFont="1" applyFill="1" applyBorder="1" applyAlignment="1">
      <x:alignment vertical="center" wrapText="1"/>
    </x:xf>
    <x:xf numFmtId="204" fontId="10" fillId="9" borderId="0" xfId="0" applyNumberFormat="1" applyFont="1" applyFill="1" applyBorder="1" applyAlignment="1">
      <x:alignment vertical="center" wrapText="1"/>
    </x:xf>
    <x:xf numFmtId="201" fontId="5" fillId="9" borderId="0" xfId="0" applyNumberFormat="1" applyFont="1" applyFill="1" applyBorder="1" applyAlignment="1">
      <x:alignment vertical="center" wrapText="1"/>
    </x:xf>
    <x:xf numFmtId="201" fontId="9" fillId="9" borderId="0" xfId="0" applyNumberFormat="1" applyFont="1" applyFill="1" applyBorder="1" applyAlignment="1">
      <x:alignment vertical="center" wrapText="1"/>
    </x:xf>
    <x:xf numFmtId="202" fontId="5" fillId="9" borderId="0" xfId="0" applyNumberFormat="1" applyFont="1" applyFill="1" applyBorder="1" applyAlignment="1">
      <x:alignment vertical="center" wrapText="1"/>
    </x:xf>
    <x:xf numFmtId="204" fontId="5" fillId="9" borderId="0" xfId="0" applyNumberFormat="1" applyFont="1" applyFill="1" applyBorder="1" applyAlignment="1">
      <x:alignment vertical="center" wrapText="1"/>
    </x:xf>
    <x:xf numFmtId="205" fontId="10" fillId="9" borderId="0" xfId="0" applyNumberFormat="1" applyFont="1" applyFill="1" applyBorder="1" applyAlignment="1">
      <x:alignment vertical="center" wrapText="1"/>
    </x:xf>
    <x:xf numFmtId="205" fontId="5" fillId="9" borderId="0" xfId="0" applyNumberFormat="1" applyFont="1" applyFill="1" applyBorder="1" applyAlignment="1">
      <x:alignment vertical="center" wrapText="1"/>
    </x:xf>
    <x:xf numFmtId="201" fontId="19" fillId="9" borderId="0" xfId="0" applyNumberFormat="1" applyFont="1" applyFill="1" applyBorder="1" applyAlignment="1">
      <x:alignment vertical="center" wrapText="1"/>
    </x:xf>
    <x:xf numFmtId="202" fontId="19" fillId="9" borderId="0" xfId="0" applyNumberFormat="1" applyFont="1" applyFill="1" applyBorder="1" applyAlignment="1">
      <x:alignment vertical="center" wrapText="1"/>
    </x:xf>
    <x:xf numFmtId="200" fontId="20" fillId="9" borderId="0" xfId="0" applyNumberFormat="1" applyFont="1" applyFill="1" applyBorder="1" applyAlignment="1">
      <x:alignment vertical="center" wrapText="1"/>
    </x:xf>
    <x:xf numFmtId="202" fontId="20" fillId="9" borderId="0" xfId="0" applyNumberFormat="1" applyFont="1" applyFill="1" applyBorder="1" applyAlignment="1">
      <x:alignment vertical="center" wrapText="1"/>
    </x:xf>
    <x:xf numFmtId="201" fontId="20" fillId="9" borderId="0" xfId="0" applyNumberFormat="1" applyFont="1" applyFill="1" applyBorder="1" applyAlignment="1">
      <x:alignment vertical="center" wrapText="1"/>
    </x:xf>
    <x:xf numFmtId="204" fontId="20" fillId="9" borderId="0" xfId="0" applyNumberFormat="1" applyFont="1" applyFill="1" applyBorder="1" applyAlignment="1">
      <x:alignment vertical="center" wrapText="1"/>
    </x:xf>
    <x:xf numFmtId="203" fontId="20" fillId="9" borderId="0" xfId="0" applyNumberFormat="1" applyFont="1" applyFill="1" applyBorder="1" applyAlignment="1">
      <x:alignment vertical="center" wrapText="1"/>
    </x:xf>
    <x:xf numFmtId="205" fontId="20" fillId="9" borderId="0" xfId="0" applyNumberFormat="1" applyFont="1" applyFill="1" applyBorder="1" applyAlignment="1">
      <x:alignment vertical="center" wrapText="1"/>
    </x:xf>
    <x:xf numFmtId="0" fontId="7" fillId="9" borderId="0" xfId="0" applyNumberFormat="1" applyFont="1" applyFill="1" applyBorder="1" applyAlignment="1">
      <x:alignment vertical="center" wrapText="1"/>
    </x:xf>
    <x:xf numFmtId="0" fontId="1" fillId="9" borderId="0" xfId="0" applyNumberFormat="1" applyFont="1" applyFill="1" applyBorder="1" applyAlignment="1">
      <x:alignment vertical="center"/>
    </x:xf>
    <x:xf numFmtId="0" fontId="8" fillId="9" borderId="0" xfId="0" applyNumberFormat="1" applyFont="1" applyFill="1" applyBorder="1" applyAlignment="1">
      <x:alignment vertical="center" wrapText="1"/>
    </x:xf>
    <x:xf numFmtId="0" fontId="5" fillId="9" borderId="0" xfId="0" applyNumberFormat="1" applyFont="1" applyFill="1" applyBorder="1" applyAlignment="1">
      <x:alignment vertical="center"/>
    </x:xf>
    <x:xf numFmtId="202" fontId="5" fillId="9" borderId="0" xfId="0" applyNumberFormat="1" applyFont="1" applyFill="1" applyBorder="1" applyAlignment="1">
      <x:alignment vertical="center"/>
    </x:xf>
    <x:xf numFmtId="201" fontId="5" fillId="9" borderId="0" xfId="0" applyNumberFormat="1" applyFont="1" applyFill="1" applyBorder="1" applyAlignment="1">
      <x:alignment vertical="center"/>
    </x:xf>
    <x:xf numFmtId="204" fontId="9" fillId="9" borderId="0" xfId="0" applyNumberFormat="1" applyFont="1" applyFill="1" applyBorder="1" applyAlignment="1">
      <x:alignment vertical="center"/>
    </x:xf>
    <x:xf numFmtId="201" fontId="9" fillId="9" borderId="0" xfId="0" applyNumberFormat="1" applyFont="1" applyFill="1" applyBorder="1" applyAlignment="1">
      <x:alignment vertical="center"/>
    </x:xf>
    <x:xf numFmtId="0" fontId="8" fillId="9" borderId="0" xfId="0" applyNumberFormat="1" applyFont="1" applyFill="1" applyBorder="1" applyAlignment="1">
      <x:alignment vertical="center"/>
    </x:xf>
    <x:xf numFmtId="204" fontId="11" fillId="9" borderId="0" xfId="0" applyNumberFormat="1" applyFont="1" applyFill="1" applyBorder="1" applyAlignment="1">
      <x:alignment vertical="center"/>
    </x:xf>
    <x:xf numFmtId="201" fontId="11" fillId="9" borderId="0" xfId="0" applyNumberFormat="1" applyFont="1" applyFill="1" applyBorder="1" applyAlignment="1">
      <x:alignment vertical="center"/>
    </x:xf>
    <x:xf numFmtId="0" fontId="20" fillId="9" borderId="0" xfId="0" applyNumberFormat="1" applyFont="1" applyFill="1" applyBorder="1" applyAlignment="1">
      <x:alignment vertical="center"/>
    </x:xf>
    <x:xf numFmtId="202" fontId="20" fillId="9" borderId="0" xfId="0" applyNumberFormat="1" applyFont="1" applyFill="1" applyBorder="1" applyAlignment="1">
      <x:alignment vertical="center"/>
    </x:xf>
    <x:xf numFmtId="201" fontId="20" fillId="9" borderId="0" xfId="0" applyNumberFormat="1" applyFont="1" applyFill="1" applyBorder="1" applyAlignment="1">
      <x:alignment vertical="center"/>
    </x:xf>
    <x:xf numFmtId="204" fontId="20" fillId="9" borderId="0" xfId="0" applyNumberFormat="1" applyFont="1" applyFill="1" applyBorder="1" applyAlignment="1">
      <x:alignment vertical="center"/>
    </x:xf>
    <x:xf numFmtId="0" fontId="19" fillId="9" borderId="0" xfId="0" applyNumberFormat="1" applyFont="1" applyFill="1" applyBorder="1" applyAlignment="1">
      <x:alignment vertical="center"/>
    </x:xf>
    <x:xf numFmtId="204" fontId="19" fillId="9" borderId="0" xfId="0" applyNumberFormat="1" applyFont="1" applyFill="1" applyBorder="1" applyAlignment="1">
      <x:alignment vertical="center"/>
    </x:xf>
    <x:xf numFmtId="201" fontId="19" fillId="9" borderId="0" xfId="0" applyNumberFormat="1" applyFont="1" applyFill="1" applyBorder="1" applyAlignment="1">
      <x:alignment vertical="center"/>
    </x:xf>
    <x:xf numFmtId="204" fontId="19" fillId="9" borderId="0" xfId="0" applyNumberFormat="1" applyFont="1" applyFill="1" applyBorder="1" applyAlignment="1">
      <x:alignment vertical="center" wrapText="1"/>
    </x:xf>
    <x:xf numFmtId="203" fontId="1" fillId="9" borderId="0" xfId="0" applyNumberFormat="1" applyFont="1" applyFill="1" applyBorder="1" applyAlignment="1">
      <x:alignment vertical="center" wrapText="1"/>
    </x:xf>
    <x:xf numFmtId="202" fontId="9" fillId="9" borderId="0" xfId="0" applyNumberFormat="1" applyFont="1" applyFill="1" applyBorder="1" applyAlignment="1">
      <x:alignment vertical="center" wrapText="1"/>
    </x:xf>
    <x:xf numFmtId="203" fontId="8" fillId="9" borderId="0" xfId="0" applyNumberFormat="1" applyFont="1" applyFill="1" applyBorder="1" applyAlignment="1">
      <x:alignment vertical="center" wrapText="1"/>
    </x:xf>
    <x:xf numFmtId="201" fontId="11" fillId="9" borderId="0" xfId="0" applyNumberFormat="1" applyFont="1" applyFill="1" applyBorder="1" applyAlignment="1">
      <x:alignment vertical="center" wrapText="1"/>
    </x:xf>
    <x:xf numFmtId="202" fontId="14" fillId="9" borderId="0" xfId="0" applyNumberFormat="1" applyFont="1" applyFill="1" applyBorder="1" applyAlignment="1">
      <x:alignment vertical="center" wrapText="1"/>
    </x:xf>
    <x:xf numFmtId="201" fontId="14" fillId="9" borderId="0" xfId="0" applyNumberFormat="1" applyFont="1" applyFill="1" applyBorder="1" applyAlignment="1">
      <x:alignment vertical="center" wrapText="1"/>
    </x:xf>
    <x:xf numFmtId="203" fontId="19" fillId="9" borderId="0" xfId="0" applyNumberFormat="1" applyFont="1" applyFill="1" applyBorder="1" applyAlignment="1">
      <x:alignment vertical="center" wrapText="1"/>
    </x:xf>
    <x:xf numFmtId="206" fontId="5" fillId="9" borderId="0" xfId="0" applyNumberFormat="1" applyFont="1" applyFill="1" applyBorder="1" applyAlignment="1">
      <x:alignment vertical="center" wrapText="1"/>
    </x:xf>
    <x:xf numFmtId="203" fontId="10" fillId="9" borderId="0" xfId="0" applyNumberFormat="1" applyFont="1" applyFill="1" applyBorder="1" applyAlignment="1">
      <x:alignment vertical="center" wrapText="1"/>
    </x:xf>
    <x:xf numFmtId="206" fontId="20" fillId="9" borderId="0" xfId="0" applyNumberFormat="1" applyFont="1" applyFill="1" applyBorder="1" applyAlignment="1">
      <x:alignment vertical="center" wrapText="1"/>
    </x:xf>
    <x:xf numFmtId="0" fontId="16" fillId="9" borderId="0" xfId="0" applyNumberFormat="1" applyFont="1" applyFill="1" applyBorder="1" applyAlignment="1">
      <x:alignment vertical="center" wrapText="1"/>
    </x:xf>
    <x:xf numFmtId="0" fontId="17" fillId="9" borderId="0" xfId="0" applyNumberFormat="1" applyFont="1" applyFill="1" applyBorder="1" applyAlignment="1">
      <x:alignment vertical="center" wrapText="1"/>
    </x:xf>
    <x:xf numFmtId="207" fontId="17" fillId="9" borderId="0" xfId="0" applyNumberFormat="1" applyFont="1" applyFill="1" applyBorder="1" applyAlignment="1">
      <x:alignment vertical="center" wrapText="1"/>
    </x:xf>
    <x:xf numFmtId="0" fontId="18" fillId="9" borderId="0" xfId="0" applyNumberFormat="1" applyFont="1" applyFill="1" applyBorder="1" applyAlignment="1">
      <x:alignment vertical="center" wrapText="1"/>
    </x:xf>
    <x:xf numFmtId="207" fontId="20" fillId="9" borderId="0" xfId="0" applyNumberFormat="1" applyFont="1" applyFill="1" applyBorder="1" applyAlignment="1">
      <x:alignment vertical="center" wrapText="1"/>
    </x:xf>
    <x:xf numFmtId="200" fontId="20" fillId="11" borderId="0" xfId="0" applyNumberFormat="1" applyFont="1" applyFill="1" applyBorder="1" applyAlignment="1">
      <x:alignment vertical="center" wrapText="1"/>
    </x:xf>
    <x:xf numFmtId="203" fontId="20" fillId="11" borderId="0" xfId="0" applyNumberFormat="1" applyFont="1" applyFill="1" applyBorder="1" applyAlignment="1">
      <x:alignment vertical="center" wrapText="1"/>
    </x:xf>
    <x:xf numFmtId="201" fontId="20" fillId="11" borderId="0" xfId="0" applyNumberFormat="1" applyFont="1" applyFill="1" applyBorder="1" applyAlignment="1">
      <x:alignment vertical="center" wrapText="1"/>
    </x:xf>
    <x:xf numFmtId="202" fontId="20" fillId="11" borderId="0" xfId="0" applyNumberFormat="1" applyFont="1" applyFill="1" applyBorder="1" applyAlignment="1">
      <x:alignment vertical="center" wrapText="1"/>
    </x:xf>
    <x:xf numFmtId="204" fontId="20" fillId="11" borderId="0" xfId="0" applyNumberFormat="1" applyFont="1" applyFill="1" applyBorder="1" applyAlignment="1">
      <x:alignment vertical="center" wrapText="1"/>
    </x:xf>
    <x:xf numFmtId="0" fontId="20" fillId="11" borderId="0" xfId="0" applyNumberFormat="1" applyFont="1" applyFill="1" applyBorder="1" applyAlignment="1">
      <x:alignment vertical="center" wrapText="1"/>
    </x:xf>
    <x:xf numFmtId="0" fontId="19" fillId="11" borderId="0" xfId="0" applyNumberFormat="1" applyFont="1" applyFill="1" applyBorder="1" applyAlignment="1">
      <x:alignment vertical="center" wrapText="1"/>
    </x:xf>
    <x:xf numFmtId="205" fontId="20" fillId="11" borderId="0" xfId="0" applyNumberFormat="1" applyFont="1" applyFill="1" applyBorder="1" applyAlignment="1">
      <x:alignment vertical="center" wrapText="1"/>
    </x:xf>
    <x:xf numFmtId="0" fontId="1" fillId="11" borderId="0" xfId="0" applyNumberFormat="1" applyFont="1" applyFill="1" applyBorder="1" applyAlignment="1">
      <x:alignment vertical="center" wrapText="1"/>
    </x:xf>
    <x:xf numFmtId="200" fontId="23" fillId="11" borderId="0" xfId="0" applyNumberFormat="1" applyFont="1" applyFill="1" applyBorder="1" applyAlignment="1">
      <x:alignment vertical="center" wrapText="1"/>
    </x:xf>
    <x:xf numFmtId="203" fontId="23" fillId="11" borderId="0" xfId="0" applyNumberFormat="1" applyFont="1" applyFill="1" applyBorder="1" applyAlignment="1">
      <x:alignment vertical="center" wrapText="1"/>
    </x:xf>
    <x:xf numFmtId="201" fontId="23" fillId="11" borderId="0" xfId="0" applyNumberFormat="1" applyFont="1" applyFill="1" applyBorder="1" applyAlignment="1">
      <x:alignment vertical="center" wrapText="1"/>
    </x:xf>
    <x:xf numFmtId="202" fontId="23" fillId="11" borderId="0" xfId="0" applyNumberFormat="1" applyFont="1" applyFill="1" applyBorder="1" applyAlignment="1">
      <x:alignment vertical="center" wrapText="1"/>
    </x:xf>
    <x:xf numFmtId="204" fontId="23" fillId="11" borderId="0" xfId="0" applyNumberFormat="1" applyFont="1" applyFill="1" applyBorder="1" applyAlignment="1">
      <x:alignment vertical="center" wrapText="1"/>
    </x:xf>
    <x:xf numFmtId="0" fontId="23" fillId="11" borderId="0" xfId="0" applyNumberFormat="1" applyFont="1" applyFill="1" applyBorder="1" applyAlignment="1">
      <x:alignment vertical="center" wrapText="1"/>
    </x:xf>
    <x:xf numFmtId="205" fontId="23" fillId="11" borderId="0" xfId="0" applyNumberFormat="1" applyFont="1" applyFill="1" applyBorder="1" applyAlignment="1">
      <x:alignment vertical="center" wrapText="1"/>
    </x:xf>
    <x:xf numFmtId="202" fontId="19" fillId="12" borderId="0" xfId="0" applyNumberFormat="1" applyFont="1" applyFill="1" applyBorder="1" applyAlignment="1">
      <x:alignment vertical="center" wrapText="1"/>
    </x:xf>
    <x:xf numFmtId="200" fontId="20" fillId="12" borderId="0" xfId="0" applyNumberFormat="1" applyFont="1" applyFill="1" applyBorder="1" applyAlignment="1">
      <x:alignment vertical="center" wrapText="1"/>
    </x:xf>
    <x:xf numFmtId="0" fontId="20" fillId="12" borderId="0" xfId="0" applyNumberFormat="1" applyFont="1" applyFill="1" applyBorder="1" applyAlignment="1">
      <x:alignment vertical="center" wrapText="1"/>
    </x:xf>
    <x:xf numFmtId="0" fontId="19" fillId="12" borderId="0" xfId="0" applyNumberFormat="1" applyFont="1" applyFill="1" applyBorder="1" applyAlignment="1">
      <x:alignment vertical="center" wrapText="1"/>
    </x:xf>
    <x:xf numFmtId="202" fontId="20" fillId="12" borderId="0" xfId="0" applyNumberFormat="1" applyFont="1" applyFill="1" applyBorder="1" applyAlignment="1">
      <x:alignment vertical="center" wrapText="1"/>
    </x:xf>
    <x:xf numFmtId="201" fontId="20" fillId="12" borderId="0" xfId="0" applyNumberFormat="1" applyFont="1" applyFill="1" applyBorder="1" applyAlignment="1">
      <x:alignment vertical="center" wrapText="1"/>
    </x:xf>
    <x:xf numFmtId="204" fontId="20" fillId="12" borderId="0" xfId="0" applyNumberFormat="1" applyFont="1" applyFill="1" applyBorder="1" applyAlignment="1">
      <x:alignment vertical="center" wrapText="1"/>
    </x:xf>
    <x:xf numFmtId="205" fontId="20" fillId="12" borderId="0" xfId="0" applyNumberFormat="1" applyFont="1" applyFill="1" applyBorder="1" applyAlignment="1">
      <x:alignment vertical="center" wrapText="1"/>
    </x:xf>
    <x:xf numFmtId="0" fontId="1" fillId="12" borderId="0" xfId="0" applyNumberFormat="1" applyFont="1" applyFill="1" applyBorder="1" applyAlignment="1">
      <x:alignment vertical="center" wrapText="1"/>
    </x:xf>
    <x:xf numFmtId="202" fontId="23" fillId="12" borderId="0" xfId="0" applyNumberFormat="1" applyFont="1" applyFill="1" applyBorder="1" applyAlignment="1">
      <x:alignment vertical="center" wrapText="1"/>
    </x:xf>
    <x:xf numFmtId="200" fontId="23" fillId="12" borderId="0" xfId="0" applyNumberFormat="1" applyFont="1" applyFill="1" applyBorder="1" applyAlignment="1">
      <x:alignment vertical="center" wrapText="1"/>
    </x:xf>
    <x:xf numFmtId="0" fontId="23" fillId="12" borderId="0" xfId="0" applyNumberFormat="1" applyFont="1" applyFill="1" applyBorder="1" applyAlignment="1">
      <x:alignment vertical="center" wrapText="1"/>
    </x:xf>
    <x:xf numFmtId="201" fontId="23" fillId="12" borderId="0" xfId="0" applyNumberFormat="1" applyFont="1" applyFill="1" applyBorder="1" applyAlignment="1">
      <x:alignment vertical="center" wrapText="1"/>
    </x:xf>
    <x:xf numFmtId="204" fontId="23" fillId="12" borderId="0" xfId="0" applyNumberFormat="1" applyFont="1" applyFill="1" applyBorder="1" applyAlignment="1">
      <x:alignment vertical="center" wrapText="1"/>
    </x:xf>
    <x:xf numFmtId="205" fontId="23" fillId="12" borderId="0" xfId="0" applyNumberFormat="1" applyFont="1" applyFill="1" applyBorder="1" applyAlignment="1">
      <x:alignment vertical="center" wrapText="1"/>
    </x:xf>
    <x:xf numFmtId="0" fontId="20" fillId="13" borderId="0" xfId="0" applyNumberFormat="1" applyFont="1" applyFill="1" applyBorder="1" applyAlignment="1">
      <x:alignment vertical="center" wrapText="1"/>
    </x:xf>
    <x:xf numFmtId="201" fontId="19" fillId="13" borderId="0" xfId="0" applyNumberFormat="1" applyFont="1" applyFill="1" applyBorder="1" applyAlignment="1">
      <x:alignment vertical="center" wrapText="1"/>
    </x:xf>
    <x:xf numFmtId="0" fontId="24" fillId="13" borderId="0" xfId="0" applyNumberFormat="1" applyFont="1" applyFill="1" applyBorder="1" applyAlignment="1">
      <x:alignment vertical="center" wrapText="1"/>
    </x:xf>
    <x:xf numFmtId="201" fontId="24" fillId="13" borderId="0" xfId="0" applyNumberFormat="1" applyFont="1" applyFill="1" applyBorder="1" applyAlignment="1">
      <x:alignment vertical="center" wrapText="1"/>
    </x:xf>
    <x:xf numFmtId="0" fontId="24" fillId="9" borderId="0" xfId="0" applyNumberFormat="1" applyFont="1" applyFill="1" applyBorder="1" applyAlignment="1">
      <x:alignment vertical="center" wrapText="1"/>
    </x:xf>
    <x:xf numFmtId="0" fontId="24" fillId="11" borderId="0" xfId="0" applyNumberFormat="1" applyFont="1" applyFill="1" applyBorder="1" applyAlignment="1">
      <x:alignment vertical="center" wrapText="1"/>
    </x:xf>
    <x:xf numFmtId="202" fontId="24" fillId="11" borderId="0" xfId="0" applyNumberFormat="1" applyFont="1" applyFill="1" applyBorder="1" applyAlignment="1">
      <x:alignment vertical="center" wrapText="1"/>
    </x:xf>
    <x:xf numFmtId="200" fontId="24" fillId="11" borderId="0" xfId="0" applyNumberFormat="1" applyFont="1" applyFill="1" applyBorder="1" applyAlignment="1">
      <x:alignment vertical="center" wrapText="1"/>
    </x:xf>
    <x:xf numFmtId="0" fontId="23" fillId="13" borderId="0" xfId="0" applyNumberFormat="1" applyFont="1" applyFill="1" applyBorder="1" applyAlignment="1">
      <x:alignment vertical="center" wrapText="1"/>
    </x:xf>
    <x:xf numFmtId="0" fontId="25" fillId="13" borderId="0" xfId="0" applyNumberFormat="1" applyFont="1" applyFill="1" applyBorder="1" applyAlignment="1">
      <x:alignment vertical="center" wrapText="1"/>
    </x:xf>
    <x:xf numFmtId="0" fontId="26" fillId="13" borderId="0" xfId="0" applyNumberFormat="1" applyFont="1" applyFill="1" applyBorder="1" applyAlignment="1">
      <x:alignment vertical="center" wrapText="1"/>
    </x:xf>
    <x:xf numFmtId="0" fontId="27" fillId="10" borderId="0" xfId="0" applyNumberFormat="1" applyFont="1" applyFill="1" applyBorder="1" applyAlignment="1">
      <x:alignment vertical="center" wrapText="1"/>
    </x:xf>
    <x:xf numFmtId="0" fontId="23" fillId="10" borderId="0" xfId="0" applyNumberFormat="1" applyFont="1" applyFill="1" applyBorder="1" applyAlignment="1">
      <x:alignment vertical="center" wrapText="1"/>
    </x:xf>
    <x:xf numFmtId="0" fontId="20" fillId="10" borderId="0" xfId="0" applyNumberFormat="1" applyFont="1" applyFill="1" applyBorder="1" applyAlignment="1">
      <x:alignment vertical="center" wrapText="1"/>
    </x:xf>
    <x:xf numFmtId="201" fontId="23" fillId="10" borderId="0" xfId="0" applyNumberFormat="1" applyFont="1" applyFill="1" applyBorder="1" applyAlignment="1">
      <x:alignment vertical="center" wrapText="1"/>
    </x:xf>
    <x:xf numFmtId="201" fontId="27" fillId="10" borderId="0" xfId="0" applyNumberFormat="1" applyFont="1" applyFill="1" applyBorder="1" applyAlignment="1">
      <x:alignment vertical="center" wrapText="1"/>
    </x:xf>
    <x:xf numFmtId="202" fontId="23" fillId="10" borderId="0" xfId="0" applyNumberFormat="1" applyFont="1" applyFill="1" applyBorder="1" applyAlignment="1">
      <x:alignment vertical="center" wrapText="1"/>
    </x:xf>
    <x:xf numFmtId="202" fontId="27" fillId="10" borderId="0" xfId="0" applyNumberFormat="1" applyFont="1" applyFill="1" applyBorder="1" applyAlignment="1">
      <x:alignment vertical="center" wrapText="1"/>
    </x:xf>
    <x:xf numFmtId="204" fontId="23" fillId="10" borderId="0" xfId="0" applyNumberFormat="1" applyFont="1" applyFill="1" applyBorder="1" applyAlignment="1">
      <x:alignment vertical="center" wrapText="1"/>
    </x:xf>
    <x:xf numFmtId="204" fontId="27" fillId="10" borderId="0" xfId="0" applyNumberFormat="1" applyFont="1" applyFill="1" applyBorder="1" applyAlignment="1">
      <x:alignment vertical="center" wrapText="1"/>
    </x:xf>
    <x:xf numFmtId="205" fontId="23" fillId="10" borderId="0" xfId="0" applyNumberFormat="1" applyFont="1" applyFill="1" applyBorder="1" applyAlignment="1">
      <x:alignment vertical="center" wrapText="1"/>
    </x:xf>
    <x:xf numFmtId="205" fontId="27" fillId="10" borderId="0" xfId="0" applyNumberFormat="1" applyFont="1" applyFill="1" applyBorder="1" applyAlignment="1">
      <x:alignment vertical="center" wrapText="1"/>
    </x:xf>
    <x:xf numFmtId="0" fontId="19" fillId="13" borderId="0" xfId="0" applyNumberFormat="1" applyFont="1" applyFill="1" applyBorder="1" applyAlignment="1">
      <x:alignment vertical="center" wrapText="1"/>
    </x:xf>
    <x:xf numFmtId="0" fontId="28" fillId="13" borderId="0" xfId="0" applyNumberFormat="1" applyFont="1" applyFill="1" applyBorder="1" applyAlignment="1">
      <x:alignment vertical="center" wrapText="1"/>
    </x:xf>
    <x:xf numFmtId="206" fontId="20" fillId="11" borderId="0" xfId="0" applyNumberFormat="1" applyFont="1" applyFill="1" applyBorder="1" applyAlignment="1">
      <x:alignment vertical="center" wrapText="1"/>
    </x:xf>
    <x:xf numFmtId="0" fontId="28" fillId="12" borderId="0" xfId="0" applyNumberFormat="1" applyFont="1" applyFill="1" applyBorder="1" applyAlignment="1">
      <x:alignment vertical="center" wrapText="1"/>
    </x:xf>
    <x:xf numFmtId="203" fontId="20" fillId="12" borderId="0" xfId="0" applyNumberFormat="1" applyFont="1" applyFill="1" applyBorder="1" applyAlignment="1">
      <x:alignment vertical="center" wrapText="1"/>
    </x:xf>
    <x:xf numFmtId="0" fontId="0" fillId="9" borderId="0" xfId="0" applyNumberFormat="1" applyFont="1" applyFill="1" applyBorder="1"/>
    <x:xf numFmtId="0" fontId="0" fillId="10" borderId="0" xfId="0" applyNumberFormat="1" applyFont="1" applyFill="1" applyBorder="1"/>
    <x:xf numFmtId="0" fontId="29" fillId="10" borderId="0" xfId="0" applyNumberFormat="1" applyFont="1" applyFill="1" applyBorder="1"/>
    <x:xf numFmtId="0" fontId="30" fillId="9" borderId="0" xfId="0" applyNumberFormat="1" applyFont="1" applyFill="1" applyBorder="1"/>
    <x:xf numFmtId="0" fontId="0" fillId="14" borderId="0" xfId="0" applyNumberFormat="1" applyFont="1" applyFill="1" applyBorder="1"/>
    <x:xf numFmtId="0" fontId="31" fillId="14" borderId="0" xfId="0" applyNumberFormat="1" applyFont="1" applyFill="1" applyBorder="1"/>
    <x:xf numFmtId="0" fontId="32" fillId="9" borderId="0" xfId="0" applyNumberFormat="1" applyFont="1" applyFill="1" applyBorder="1"/>
    <x:xf numFmtId="0" fontId="0" fillId="12" borderId="0" xfId="0" applyNumberFormat="1" applyFont="1" applyFill="1" applyBorder="1"/>
    <x:xf numFmtId="0" fontId="33" fillId="12" borderId="0" xfId="0" applyNumberFormat="1" applyFont="1" applyFill="1" applyBorder="1"/>
    <x:xf numFmtId="208" fontId="33" fillId="12" borderId="0" xfId="0" applyNumberFormat="1" applyFont="1" applyFill="1" applyBorder="1"/>
    <x:xf numFmtId="208" fontId="0" fillId="9" borderId="0" xfId="0" applyNumberFormat="1" applyFont="1" applyFill="1" applyBorder="1"/>
    <x:xf numFmtId="209" fontId="33" fillId="12" borderId="0" xfId="0" applyNumberFormat="1" applyFont="1" applyFill="1" applyBorder="1"/>
    <x:xf numFmtId="209" fontId="0" fillId="9" borderId="0" xfId="0" applyNumberFormat="1" applyFont="1" applyFill="1" applyBorder="1"/>
    <x:xf numFmtId="0" fontId="0" fillId="13" borderId="0" xfId="0" applyNumberFormat="1" applyFont="1" applyFill="1" applyBorder="1"/>
    <x:xf numFmtId="0" fontId="34" fillId="13" borderId="0" xfId="0" applyNumberFormat="1" applyFont="1" applyFill="1" applyBorder="1"/>
    <x:xf numFmtId="0" fontId="20" fillId="9" borderId="0" xfId="0" applyNumberFormat="1" applyFont="1" applyFill="1" applyBorder="1"/>
    <x:xf numFmtId="0" fontId="0" fillId="15" borderId="0" xfId="0" applyNumberFormat="1" applyFont="1" applyFill="1" applyBorder="1"/>
    <x:xf numFmtId="0" fontId="35" fillId="15" borderId="0" xfId="0" applyNumberFormat="1" applyFont="1" applyFill="1" applyBorder="1"/>
    <x:xf numFmtId="0" fontId="35" fillId="15" borderId="0" xfId="0" applyNumberFormat="1" applyFont="1" applyFill="1" applyBorder="1" applyAlignment="1">
      <x:alignment wrapText="1"/>
    </x:xf>
    <x:xf numFmtId="0" fontId="35" fillId="15" borderId="0" xfId="0" applyNumberFormat="1" applyFont="1" applyFill="1" applyBorder="1" applyAlignment="1">
      <x:alignment vertical="center" wrapText="1"/>
    </x:xf>
  </x:cellXfs>
  <x:cellStyles count="1">
    <x:cellStyle name="Normal" xfId="0"/>
  </x:cellStyles>
  <x:dxfs count="4">
    <x:dxf>
      <x:font>
        <x:color rgb="FFB42318"/>
      </x:font>
      <x:fill>
        <x:patternFill>
          <x:bgColor rgb="FFFEECE9"/>
        </x:patternFill>
      </x:fill>
    </x:dxf>
    <x:dxf>
      <x:font>
        <x:color rgb="FFB42318"/>
      </x:font>
      <x:fill>
        <x:patternFill>
          <x:bgColor rgb="FFFEECE9"/>
        </x:patternFill>
      </x:fill>
    </x:dxf>
    <x:dxf>
      <x:font>
        <x:color rgb="FFB42318"/>
      </x:font>
      <x:fill>
        <x:patternFill>
          <x:bgColor rgb="FFFEECE9"/>
        </x:patternFill>
      </x:fill>
    </x:dxf>
    <x:dxf>
      <x:font>
        <x:color rgb="FFB42318"/>
      </x:font>
      <x:fill>
        <x:patternFill>
          <x:bgColor rgb="FFFEECE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e970240d5b84dea" /><Relationship Type="http://schemas.openxmlformats.org/officeDocument/2006/relationships/theme" Target="/xl/theme/theme1.xml" Id="R5886fe05d7f7412c" /><Relationship Type="http://schemas.openxmlformats.org/officeDocument/2006/relationships/sharedStrings" Target="/xl/sharedStrings.xml" Id="R44bc5866bb8e41af" /><Relationship Type="http://schemas.openxmlformats.org/officeDocument/2006/relationships/worksheet" Target="/xl/worksheets/sheet1.xml" Id="R2be6f4864c674741" /><Relationship Type="http://schemas.openxmlformats.org/officeDocument/2006/relationships/worksheet" Target="/xl/worksheets/sheet2.xml" Id="Rd6a1d51ff9454b8e" /><Relationship Type="http://schemas.openxmlformats.org/officeDocument/2006/relationships/worksheet" Target="/xl/worksheets/sheet3.xml" Id="R7d491840d1954911" /><Relationship Type="http://schemas.openxmlformats.org/officeDocument/2006/relationships/worksheet" Target="/xl/worksheets/sheet4.xml" Id="Rabe975ab2ea34b5e" /><Relationship Type="http://schemas.openxmlformats.org/officeDocument/2006/relationships/worksheet" Target="/xl/worksheets/sheet5.xml" Id="Ref08c92a60ed4031" /><Relationship Type="http://schemas.openxmlformats.org/officeDocument/2006/relationships/worksheet" Target="/xl/worksheets/sheet6.xml" Id="Rf8be1d2b92b34b4f" /><Relationship Type="http://schemas.openxmlformats.org/officeDocument/2006/relationships/worksheet" Target="/xl/worksheets/sheet7.xml" Id="R3ee5f37a83bb4fcc" /><Relationship Type="http://schemas.openxmlformats.org/officeDocument/2006/relationships/worksheet" Target="/xl/worksheets/sheet8.xml" Id="R4f3374c1ae464bfe" /><Relationship Type="http://schemas.openxmlformats.org/officeDocument/2006/relationships/worksheet" Target="/xl/worksheets/sheet9.xml" Id="R90bb06f1af404d49" /><Relationship Type="http://schemas.openxmlformats.org/officeDocument/2006/relationships/worksheet" Target="/xl/worksheets/sheet10.xml" Id="R5e12e2cb583b42dd" /><Relationship Type="http://schemas.openxmlformats.org/officeDocument/2006/relationships/worksheet" Target="/xl/worksheets/sheet11.xml" Id="R60dbb752321c492d" /><Relationship Type="http://schemas.microsoft.com/office/2017/10/relationships/person" Target="/xl/persons/person.xml" Id="R2700116636f94ee1" /></Relationships>
</file>

<file path=xl/persons/person.xml><?xml version="1.0" encoding="utf-8"?>
<xltc:personList xmlns:xltc="http://schemas.microsoft.com/office/spreadsheetml/2018/threadedcomments">
  <xltc:person displayName="STR Toolkit Research" id="{3CF56AB2-630F-4D65-9E3E-9F81B23F0FD0}"/>
  <xltc:person displayName="STR Toolkit Research" id="{D4FF922D-2D60-4049-9DC2-FA4F5D1DEA11}"/>
</xltc:personList>
</file>

<file path=xl/tables/table1.xml><?xml version="1.0" encoding="utf-8"?>
<x:table xmlns:x="http://schemas.openxmlformats.org/spreadsheetml/2006/main" id="1" name="DefinitionsTable" displayName="DefinitionsTable" ref="A6:D34" headerRowCount="1" totalsRowCount="0" totalsRowShown="0">
  <x:tableColumns count="4">
    <x:tableColumn id="1" name="Concept"/>
    <x:tableColumn id="2" name="Formula / convention"/>
    <x:tableColumn id="3" name="How to use it"/>
    <x:tableColumn id="4" name="Primary source / provenance"/>
  </x:tableColumns>
  <x:tableStyleInfo name="TableStyleMedium2" showFirstColumn="0" showLastColumn="0" showRowStripes="1" showColumnStripes="0"/>
</x:table>
</file>

<file path=xl/tables/table2.xml><?xml version="1.0" encoding="utf-8"?>
<x:table xmlns:x="http://schemas.openxmlformats.org/spreadsheetml/2006/main" id="2" name="TestedExamples" displayName="TestedExamples" ref="A14:F166" headerRowCount="1" totalsRowCount="0" totalsRowShown="0">
  <x:tableColumns count="6">
    <x:tableColumn id="1" name="Test case"/>
    <x:tableColumn id="2" name="Model"/>
    <x:tableColumn id="3" name="Metric"/>
    <x:tableColumn id="4" name="Expected"/>
    <x:tableColumn id="5" name="Workbook result"/>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B13" dT="2026-09-21T10:50:52.289" personId="{3CF56AB2-630F-4D65-9E3E-9F81B23F0FD0}" id="{113D7027-1B44-FB5F-F826-F129CA24C633}">
    <xltc:text>Source: Illustrative example. Replace before use.</xltc:text>
  </xltc:threadedComment>
  <xltc:threadedComment ref="B13" dT="2026-09-21T10:51:10.197" personId="{D4FF922D-2D60-4049-9DC2-FA4F5D1DEA11}" id="{36D4818D-F08C-E223-A659-2EA125B46372}">
    <xltc:text>Source: Illustrative teaching assumption, not a market quote. Replace with property-specific evidence.
Save a separate workbook copy for each property.</xltc:text>
  </xltc:threadedComment>
  <xltc:threadedComment ref="B14" dT="2026-09-21T10:51:10.227" personId="{D4FF922D-2D60-4049-9DC2-FA4F5D1DEA11}" id="{0BBF1FC6-DE0B-EC03-39FC-39F083CC765E}">
    <xltc:text>Source: Illustrative teaching assumption, not a market quote. Replace with property-specific evidence.
Confirm this parcel, operating model, permit availability and transfer rules.</xltc:text>
  </xltc:threadedComment>
  <xltc:threadedComment ref="B15" dT="2026-09-21T10:51:10.253" personId="{D4FF922D-2D60-4049-9DC2-FA4F5D1DEA11}" id="{4CAB820F-4289-6A07-1915-237A5AC21C54}">
    <xltc:text>Source: Illustrative teaching assumption, not a market quote. Replace with property-specific evidence.
Written lease permission for STRs.</xltc:text>
  </xltc:threadedComment>
  <xltc:threadedComment ref="B16" dT="2026-09-21T10:51:10.279" personId="{D4FF922D-2D60-4049-9DC2-FA4F5D1DEA11}" id="{670BA1CD-C15A-64E0-0CCF-329CB6B481A5}">
    <xltc:text>Source: Illustrative teaching assumption, not a market quote. Replace with property-specific evidence.
Yes means reviewed and allowed, including where no HOA exists.</xltc:text>
  </xltc:threadedComment>
  <xltc:threadedComment ref="B19" dT="2026-09-21T10:51:10.307" personId="{D4FF922D-2D60-4049-9DC2-FA4F5D1DEA11}" id="{DEC07556-D257-1FED-B3D7-9090C4ACAA3B}">
    <xltc:text>Source: Illustrative teaching assumption, not a market quote. Replace with property-specific evidence.
Monthly mode uses the editable monthly assumptions on Seasonality.</xltc:text>
  </xltc:threadedComment>
  <xltc:threadedComment ref="B20" dT="2026-09-21T10:51:10.336" personId="{D4FF922D-2D60-4049-9DC2-FA4F5D1DEA11}" id="{465BD334-F5C5-C269-E230-C7E9064158E2}">
    <xltc:text>Source: Illustrative teaching assumption, not a market quote. Replace with property-specific evidence.
Booked room rate only. Exclude cleaning fees and lodging taxes.</xltc:text>
  </xltc:threadedComment>
  <xltc:threadedComment ref="B21" dT="2026-09-21T10:51:10.365" personId="{D4FF922D-2D60-4049-9DC2-FA4F5D1DEA11}" id="{DEB9683C-A84A-7807-014E-86952096F205}">
    <xltc:text>Source: Illustrative teaching assumption, not a market quote. Replace with property-specific evidence.
Booked nights / available nights. Not booked nights / all calendar days.</xltc:text>
  </xltc:threadedComment>
  <xltc:threadedComment ref="B22" dT="2026-09-21T10:51:10.405" personId="{D4FF922D-2D60-4049-9DC2-FA4F5D1DEA11}" id="{84D3640B-872E-8214-CB03-DADB0BC8D8F4}">
    <xltc:text>Source: Illustrative teaching assumption, not a market quote. Replace with property-specific evidence.
Exclude personal use, maintenance and unavailable nights.</xltc:text>
  </xltc:threadedComment>
  <xltc:threadedComment ref="B23" dT="2026-09-21T10:51:10.446" personId="{D4FF922D-2D60-4049-9DC2-FA4F5D1DEA11}" id="{711A1B44-8193-2985-795C-4C336EFBAF40}">
    <xltc:text>Source: Illustrative teaching assumption, not a market quote. Replace with property-specific evidence.
Expected stays = occupied nights / average stay; fractional stays are estimates.</xltc:text>
  </xltc:threadedComment>
  <xltc:threadedComment ref="B24" dT="2026-09-21T10:51:10.475" personId="{D4FF922D-2D60-4049-9DC2-FA4F5D1DEA11}" id="{5E265AB1-EC6B-EA4A-AE63-58844252FF29}">
    <xltc:text>Source: Illustrative teaching assumption, not a market quote. Replace with property-specific evidence.
Revenue charged to the guest; cleaning expense is entered separately.</xltc:text>
  </xltc:threadedComment>
  <xltc:threadedComment ref="B25" dT="2026-09-21T10:51:10.505" personId="{D4FF922D-2D60-4049-9DC2-FA4F5D1DEA11}" id="{96A84FA9-73A9-0D02-523E-5CC291CF4693}">
    <xltc:text>Source: Illustrative teaching assumption, not a market quote. Replace with property-specific evidence.
Pet / extra-person / other host fees; exclude taxes and guest service fees.</xltc:text>
  </xltc:threadedComment>
  <xltc:threadedComment ref="B26" dT="2026-09-21T10:51:10.532" personId="{D4FF922D-2D60-4049-9DC2-FA4F5D1DEA11}" id="{FDCA6B8D-A407-3F98-3493-B270193CE7E2}">
    <xltc:text>Source: https://www.airbnb.com/help/article/1857
15.5% example single fee. Confirm your actual channel/PMS fee structure.</xltc:text>
  </xltc:threadedComment>
  <xltc:threadedComment ref="B27" dT="2026-09-21T10:51:10.561" personId="{D4FF922D-2D60-4049-9DC2-FA4F5D1DEA11}" id="{B6A8AD3C-E51B-507C-3E59-F60E49BFA135}">
    <xltc:text>Source: Illustrative teaching assumption, not a market quote. Replace with property-specific evidence.
Set a market replacement cost even when you plan to self-manage.</xltc:text>
  </xltc:threadedComment>
  <xltc:threadedComment ref="B28" dT="2026-09-21T10:51:10.587" personId="{D4FF922D-2D60-4049-9DC2-FA4F5D1DEA11}" id="{4FA36E39-1AB3-DDF7-6611-949F39F89B79}">
    <xltc:text>Source: Illustrative teaching assumption, not a market quote. Replace with property-specific evidence.
Gross booking includes cleaning and other guest fees.</xltc:text>
  </xltc:threadedComment>
  <xltc:threadedComment ref="B17" dT="2026-09-21T10:51:11.066" personId="{D4FF922D-2D60-4049-9DC2-FA4F5D1DEA11}" id="{A60B5638-2590-06E6-5E83-21F54B5E48AD}">
    <xltc:text>Source: Illustrative teaching assumption, not a market quote. Replace with property-specific evidence.
Compare payback to the enforceable remaining lease term.</xltc:text>
  </xltc:threadedComment>
  <xltc:threadedComment ref="B18" dT="2026-09-21T10:51:11.108" personId="{D4FF922D-2D60-4049-9DC2-FA4F5D1DEA11}" id="{16DC4CCC-0C79-97DE-CC75-D8DEB8EB5829}">
    <xltc:text>Source: Illustrative teaching assumption, not a market quote. Replace with property-specific evidence.
Ongoing rent. Prepaid rent below is initial cash funding, not a second expense.</xltc:text>
  </xltc:threadedComment>
  <xltc:threadedComment ref="B31" dT="2026-09-21T10:51:11.177" personId="{D4FF922D-2D60-4049-9DC2-FA4F5D1DEA11}" id="{B9608DCF-688A-B9AC-788F-412974309812}">
    <xltc:text>Source: Illustrative teaching assumption, not a market quote. Replace with property-specific evidence.
Included in cash tied up; recovery is not assumed in payback.</xltc:text>
  </xltc:threadedComment>
  <xltc:threadedComment ref="B32" dT="2026-09-21T10:51:11.209" personId="{D4FF922D-2D60-4049-9DC2-FA4F5D1DEA11}" id="{1B51927A-A2FA-8AB1-5067-B36C590C5928}">
    <xltc:text>Source: Illustrative teaching assumption, not a market quote. Replace with property-specific evidence.
Nonrefundable lease application expenses.</xltc:text>
  </xltc:threadedComment>
  <xltc:threadedComment ref="B33" dT="2026-09-21T10:51:11.246" personId="{D4FF922D-2D60-4049-9DC2-FA4F5D1DEA11}" id="{5C08233F-CC90-B18E-63A3-3D491A34922C}">
    <xltc:text>Source: Illustrative teaching assumption, not a market quote. Replace with property-specific evidence.
Deposits and connection charges required before opening.</xltc:text>
  </xltc:threadedComment>
  <xltc:threadedComment ref="B34" dT="2026-09-21T10:51:11.275" personId="{D4FF922D-2D60-4049-9DC2-FA4F5D1DEA11}" id="{D887AE20-98B4-9123-1931-971C289CD780}">
    <xltc:text>Source: Illustrative teaching assumption, not a market quote. Replace with property-specific evidence.
Cash required at signing; ongoing cash flow remains a stabilized annual view.</xltc:text>
  </xltc:threadedComment>
  <xltc:threadedComment ref="B35" dT="2026-09-21T10:51:11.302" personId="{D4FF922D-2D60-4049-9DC2-FA4F5D1DEA11}" id="{5C193E9C-2098-6EF1-DA2B-EC6018EEB1CB}">
    <xltc:text>Source: Illustrative teaching assumption, not a market quote. Replace with property-specific evidence.
Do not enter the same deposit or prepaid rent twice.</xltc:text>
  </xltc:threadedComment>
  <xltc:threadedComment ref="B36" dT="2026-09-21T10:51:11.328" personId="{D4FF922D-2D60-4049-9DC2-FA4F5D1DEA11}" id="{AFEDD7DE-58C3-D9BB-30F9-E007E67D1EF0}">
    <xltc:text>Source: Illustrative teaching assumption, not a market quote. Replace with property-specific evidence.
Beds, seating and other durable furniture.</xltc:text>
  </xltc:threadedComment>
  <xltc:threadedComment ref="B37" dT="2026-09-21T10:51:11.36" personId="{D4FF922D-2D60-4049-9DC2-FA4F5D1DEA11}" id="{5144B1AA-E4D2-9D62-7455-C96EA6178A42}">
    <xltc:text>Source: Illustrative teaching assumption, not a market quote. Replace with property-specific evidence.
Design and sourcing fees.</xltc:text>
  </xltc:threadedComment>
  <xltc:threadedComment ref="B38" dT="2026-09-21T10:51:11.402" personId="{D4FF922D-2D60-4049-9DC2-FA4F5D1DEA11}" id="{A5FCD60E-D603-C55A-1A25-2A58BE80753E}">
    <xltc:text>Source: Illustrative teaching assumption, not a market quote. Replace with property-specific evidence.
Use lawful, disclosed security equipment; no indoor guest cameras.</xltc:text>
  </xltc:threadedComment>
  <xltc:threadedComment ref="B39" dT="2026-09-21T10:51:11.44" personId="{D4FF922D-2D60-4049-9DC2-FA4F5D1DEA11}" id="{7F7A98F1-FFCA-2EC8-7E04-E93CD685EBB0}">
    <xltc:text>Source: Illustrative teaching assumption, not a market quote. Replace with property-specific evidence.
Opening inventory; recurring replacements belong in operations.</xltc:text>
  </xltc:threadedComment>
  <xltc:threadedComment ref="B40" dT="2026-09-21T10:51:11.487" personId="{D4FF922D-2D60-4049-9DC2-FA4F5D1DEA11}" id="{5B9817AB-28AF-2892-6BB8-2D4676EF8960}">
    <xltc:text>Source: Illustrative teaching assumption, not a market quote. Replace with property-specific evidence.
Opening inventory only.</xltc:text>
  </xltc:threadedComment>
  <xltc:threadedComment ref="B41" dT="2026-09-21T10:51:11.529" personId="{D4FF922D-2D60-4049-9DC2-FA4F5D1DEA11}" id="{A87AD955-0A05-724F-CDA4-B7583B44E0F2}">
    <xltc:text>Source: Illustrative teaching assumption, not a market quote. Replace with property-specific evidence.
Initial listing photography.</xltc:text>
  </xltc:threadedComment>
  <xltc:threadedComment ref="B42" dT="2026-09-21T10:51:11.564" personId="{D4FF922D-2D60-4049-9DC2-FA4F5D1DEA11}" id="{B34C54D0-FC24-FA49-43ED-5801AF39455A}">
    <xltc:text>Source: Illustrative teaching assumption, not a market quote. Replace with property-specific evidence.
One-time initial fees; recurring renewals are below.</xltc:text>
  </xltc:threadedComment>
  <xltc:threadedComment ref="B43" dT="2026-09-21T10:51:11.593" personId="{D4FF922D-2D60-4049-9DC2-FA4F5D1DEA11}" id="{00380D2D-234B-1BFE-EE9D-9CAF5AB9B1C2}">
    <xltc:text>Source: Illustrative teaching assumption, not a market quote. Replace with property-specific evidence.
Lease review, travel, contingency and other launch costs.</xltc:text>
  </xltc:threadedComment>
  <xltc:threadedComment ref="B44" dT="2026-09-21T10:51:11.626" personId="{D4FF922D-2D60-4049-9DC2-FA4F5D1DEA11}" id="{D1B28C2C-5D7D-4710-448B-8D8FA4611D15}">
    <xltc:text>Source: Illustrative teaching assumption, not a market quote. Replace with property-specific evidence.
Only extra upfront cash funding; do not duplicate it in other startup rows.</xltc:text>
  </xltc:threadedComment>
  <xltc:threadedComment ref="B45" dT="2026-09-21T10:51:11.651" personId="{D4FF922D-2D60-4049-9DC2-FA4F5D1DEA11}" id="{DD36C261-7EB7-BD4D-362B-87144D470A17}">
    <xltc:text>Source: Illustrative teaching assumption, not a market quote. Replace with property-specific evidence.
Months of fixed monthly costs. A planning buffer, not an operating expense.</xltc:text>
  </xltc:threadedComment>
  <xltc:threadedComment ref="B46" dT="2026-09-21T10:51:11.678" personId="{D4FF922D-2D60-4049-9DC2-FA4F5D1DEA11}" id="{595DACBD-8010-CE78-E789-17384255B5F8}">
    <xltc:text>Source: Illustrative teaching assumption, not a market quote. Replace with property-specific evidence.
Extra cash buffer above the fixed-month reserve.</xltc:text>
  </xltc:threadedComment>
  <xltc:threadedComment ref="B49" dT="2026-09-21T10:51:11.718" personId="{D4FF922D-2D60-4049-9DC2-FA4F5D1DEA11}" id="{951D63B1-7DC1-EBD2-D754-A23703C1CB1C}">
    <xltc:text>Source: Illustrative teaching assumption, not a market quote. Replace with property-specific evidence.
Electricity, gas, water and trash.</xltc:text>
  </xltc:threadedComment>
  <xltc:threadedComment ref="B50" dT="2026-09-21T10:51:11.743" personId="{D4FF922D-2D60-4049-9DC2-FA4F5D1DEA11}" id="{1FD7C259-009D-BA60-5B57-88D4791F686C}">
    <xltc:text>Source: Illustrative teaching assumption, not a market quote. Replace with property-specific evidence.
Reliable service plus any backup requirement.</xltc:text>
  </xltc:threadedComment>
  <xltc:threadedComment ref="B51" dT="2026-09-21T10:51:11.769" personId="{D4FF922D-2D60-4049-9DC2-FA4F5D1DEA11}" id="{911ECA68-41B6-8BDD-370B-2EE29D231D99}">
    <xltc:text>Source: Illustrative teaching assumption, not a market quote. Replace with property-specific evidence.
STR-appropriate policy; obtain a written quote.</xltc:text>
  </xltc:threadedComment>
  <xltc:threadedComment ref="B52" dT="2026-09-21T10:51:11.799" personId="{D4FF922D-2D60-4049-9DC2-FA4F5D1DEA11}" id="{2B71DEC9-6688-581D-195D-31F580CB5230}">
    <xltc:text>Source: Illustrative teaching assumption, not a market quote. Replace with property-specific evidence.
PMS, pricing, automation and subscriptions.</xltc:text>
  </xltc:threadedComment>
  <xltc:threadedComment ref="B53" dT="2026-09-21T10:51:11.823" personId="{D4FF922D-2D60-4049-9DC2-FA4F5D1DEA11}" id="{2081F0A1-D687-1488-71BA-E44E9EC1BCEE}">
    <xltc:text>Source: Illustrative teaching assumption, not a market quote. Replace with property-specific evidence.
Monthly average; add seasonal service spikes in your reserve.</xltc:text>
  </xltc:threadedComment>
  <xltc:threadedComment ref="B54" dT="2026-09-21T10:51:11.847" personId="{D4FF922D-2D60-4049-9DC2-FA4F5D1DEA11}" id="{32A88566-8250-2293-8FDB-8D55E06D8A26}">
    <xltc:text>Source: Illustrative teaching assumption, not a market quote. Replace with property-specific evidence.
Only where required and STR use is permitted.</xltc:text>
  </xltc:threadedComment>
  <xltc:threadedComment ref="B55" dT="2026-09-21T10:51:11.87" personId="{D4FF922D-2D60-4049-9DC2-FA4F5D1DEA11}" id="{1CB0BA0D-D5B7-65EF-CC1B-9DD69F6EEB25}">
    <xltc:text>Source: Illustrative teaching assumption, not a market quote. Replace with property-specific evidence.
Recurring fees and non-pass-through taxes; no income tax.</xltc:text>
  </xltc:threadedComment>
  <xltc:threadedComment ref="B56" dT="2026-09-21T10:51:11.898" personId="{D4FF922D-2D60-4049-9DC2-FA4F5D1DEA11}" id="{49945953-F723-D8CF-3ECC-51E2D99D1740}">
    <xltc:text>Source: Illustrative teaching assumption, not a market quote. Replace with property-specific evidence.
Add only costs not included in management percentage.</xltc:text>
  </xltc:threadedComment>
  <xltc:threadedComment ref="B57" dT="2026-09-21T10:51:11.922" personId="{D4FF922D-2D60-4049-9DC2-FA4F5D1DEA11}" id="{8BD0813D-E8AF-F1EC-B405-42CD7602A807}">
    <xltc:text>Source: Illustrative teaching assumption, not a market quote. Replace with property-specific evidence.
Base maintenance, separate from revenue-linked provision.</xltc:text>
  </xltc:threadedComment>
  <xltc:threadedComment ref="B58" dT="2026-09-21T10:51:11.944" personId="{D4FF922D-2D60-4049-9DC2-FA4F5D1DEA11}" id="{C8CA6B4C-C13C-33C1-F31E-41BCF358EA6B}">
    <xltc:text>Source: Illustrative teaching assumption, not a market quote. Replace with property-specific evidence.
Do not omit small recurring expenses.</xltc:text>
  </xltc:threadedComment>
  <xltc:threadedComment ref="B59" dT="2026-09-21T10:51:11.973" personId="{D4FF922D-2D60-4049-9DC2-FA4F5D1DEA11}" id="{121FC691-B694-5171-1961-EA360A39BF9B}">
    <xltc:text>Source: Illustrative teaching assumption, not a market quote. Replace with property-specific evidence.
Include laundry, supplies and turnover labor.</xltc:text>
  </xltc:threadedComment>
  <xltc:threadedComment ref="B60" dT="2026-09-21T10:51:12" personId="{D4FF922D-2D60-4049-9DC2-FA4F5D1DEA11}" id="{617E1D3A-61C7-3F94-86D6-EC0FB4039CF4}">
    <xltc:text>Source: Illustrative teaching assumption, not a market quote. Replace with property-specific evidence.
Coffee, toiletries and other usage-linked costs.</xltc:text>
  </xltc:threadedComment>
  <xltc:threadedComment ref="B61" dT="2026-09-21T10:51:12.024" personId="{D4FF922D-2D60-4049-9DC2-FA4F5D1DEA11}" id="{92E05A89-CFAF-36FC-EFA0-596B62CA2D9F}">
    <xltc:text>Source: Illustrative teaching assumption, not a market quote. Replace with property-specific evidence.
Additional revenue-linked repairs allowance.</xltc:text>
  </xltc:threadedComment>
  <xltc:threadedComment ref="B62" dT="2026-09-21T10:51:12.047" personId="{D4FF922D-2D60-4049-9DC2-FA4F5D1DEA11}" id="{78F56060-6F5A-12D1-F2EB-87220FC9A997}">
    <xltc:text>Source: Illustrative teaching assumption, not a market quote. Replace with property-specific evidence.
Cash reserve for furnishings and other future replacements.</xltc:text>
  </xltc:threadedComment>
  <xltc:threadedComment ref="B63" dT="2026-09-21T10:51:12.076" personId="{D4FF922D-2D60-4049-9DC2-FA4F5D1DEA11}" id="{6506986F-8592-3F1B-EB12-36ACA75AE971}">
    <xltc:text>Source: Illustrative teaching assumption, not a market quote. Replace with property-specific evidence.
Percentage of gross booking borne by host; pass-through tax is excluded.</xltc:text>
  </xltc:threadedComment>
  <xltc:threadedComment ref="B66" dT="2026-09-21T10:51:12.114" personId="{D4FF922D-2D60-4049-9DC2-FA4F5D1DEA11}" id="{9EDB44F9-5A53-3F0D-0FF3-F2D74F46DA9E}">
    <xltc:text>Source: Illustrative teaching assumption, not a market quote. Replace with property-specific evidence.
Teaching target only; choose your own required compensation.</xltc:text>
  </xltc:threadedComment>
  <xltc:threadedComment ref="B67" dT="2026-09-21T10:51:12.14" personId="{D4FF922D-2D60-4049-9DC2-FA4F5D1DEA11}" id="{E5207388-804F-3F4B-8C04-816B39DB3FBE}">
    <xltc:text>Source: Illustrative teaching assumption, not a market quote. Replace with property-specific evidence.
On total opening cash, including deposits and reserves.</xltc:text>
  </xltc:threadedComment>
  <xltc:threadedComment ref="B68" dT="2026-09-21T10:51:12.173" personId="{D4FF922D-2D60-4049-9DC2-FA4F5D1DEA11}" id="{F84DC483-68F8-19C5-C9F2-B4B624BA5C19}">
    <xltc:text>Source: Illustrative teaching assumption, not a market quote. Replace with property-specific evidence.
Lower provides more downside room; not a universal rule.</xltc:text>
  </xltc:threadedComment>
  <xltc:threadedComment ref="B69" dT="2026-09-21T10:51:12.203" personId="{D4FF922D-2D60-4049-9DC2-FA4F5D1DEA11}" id="{7DBFB615-F35F-0260-1A20-9091F952FF99}">
    <xltc:text>Source: Illustrative teaching assumption, not a market quote. Replace with property-specific evidence.
Base occupancy minus break-even, in percentage points.</xltc:text>
  </xltc:threadedComment>
  <xltc:threadedComment ref="B70" dT="2026-09-21T10:51:12.224" personId="{D4FF922D-2D60-4049-9DC2-FA4F5D1DEA11}" id="{13391CA1-610E-C62D-0BC5-7FBB75BDAA02}">
    <xltc:text>Source: Illustrative teaching assumption, not a market quote. Replace with property-specific evidence.
Must also fit within the remaining lease term.</xltc:text>
  </xltc:threadedComment>
  <xltc:threadedComment ref="B71" dT="2026-09-21T10:51:12.245" personId="{D4FF922D-2D60-4049-9DC2-FA4F5D1DEA11}" id="{E30249AD-06AC-70AC-760F-44A7E45AD230}">
    <xltc:text>Source: Illustrative teaching assumption, not a market quote. Replace with property-specific evidence.
Based on fixed costs, before revenue-dependent spending.</xltc:text>
  </xltc:threadedComment>
  <xltc:threadedComment ref="B72" dT="2026-09-21T10:51:12.27" personId="{D4FF922D-2D60-4049-9DC2-FA4F5D1DEA11}" id="{9E9FB490-C997-D553-F07E-7FDA8EA0BA8D}">
    <xltc:text>Source: Illustrative teaching assumption, not a market quote. Replace with property-specific evidence.
Room revenue only; ignores cleaning fees in this ratio.</xltc:text>
  </xltc:threadedComment>
  <xltc:threadedComment ref="B34" dT="2026-09-21T11:31:32.809" personId="{D4FF922D-2D60-4049-9DC2-FA4F5D1DEA11}" id="{750CF650-A1F4-9CB2-76BA-9AAC7F69AA9C}">
    <xltc:text>Prepaid rent is part of initial cash required. The annual/monthly operating statement is a normalized full-operating-year expense model, not a bank-cash ledger. In a detailed launch cash forecast, apply prepaid credits rather than paying the same rent twice. Likewise reconcile prepaid insurance and changes in reserves.</xltc:text>
  </xltc:threadedComment>
</xltc:ThreadedComments>
</file>

<file path=xl/threadedcomments/threadedcomment2.xml><?xml version="1.0" encoding="utf-8"?>
<xltc:ThreadedComments xmlns:xltc="http://schemas.microsoft.com/office/spreadsheetml/2018/threadedcomments">
  <xltc:threadedComment ref="B13" dT="2026-09-21T10:51:10.645" personId="{D4FF922D-2D60-4049-9DC2-FA4F5D1DEA11}" id="{C61EF795-8853-F374-3C7F-9BB8F3100694}">
    <xltc:text>Source: Illustrative teaching assumption, not a market quote. Replace with property-specific evidence.
Save a separate workbook copy for each property.</xltc:text>
  </xltc:threadedComment>
  <xltc:threadedComment ref="B14" dT="2026-09-21T10:51:10.68" personId="{D4FF922D-2D60-4049-9DC2-FA4F5D1DEA11}" id="{84EC95E4-6F9C-B027-CD0C-ABD134AD6E17}">
    <xltc:text>Source: Illustrative teaching assumption, not a market quote. Replace with property-specific evidence.
Confirm this parcel, operating model, permit availability and transfer rules.</xltc:text>
  </xltc:threadedComment>
  <xltc:threadedComment ref="B15" dT="2026-09-21T10:51:10.711" personId="{D4FF922D-2D60-4049-9DC2-FA4F5D1DEA11}" id="{9040407A-B6FF-4582-4423-423B16D599C9}">
    <xltc:text>Source: Illustrative teaching assumption, not a market quote. Replace with property-specific evidence.
Lender approves the intended STR use; do not assume second-home terms.</xltc:text>
  </xltc:threadedComment>
  <xltc:threadedComment ref="B16" dT="2026-09-21T10:51:10.738" personId="{D4FF922D-2D60-4049-9DC2-FA4F5D1DEA11}" id="{87FCDC6F-5EAC-9896-8089-1F4D73689BE3}">
    <xltc:text>Source: Illustrative teaching assumption, not a market quote. Replace with property-specific evidence.
Yes means reviewed and allowed, including where no HOA exists.</xltc:text>
  </xltc:threadedComment>
  <xltc:threadedComment ref="B19" dT="2026-09-21T10:51:10.761" personId="{D4FF922D-2D60-4049-9DC2-FA4F5D1DEA11}" id="{4B924F2A-B9DD-5880-AA1A-A3EF2925626B}">
    <xltc:text>Source: Illustrative teaching assumption, not a market quote. Replace with property-specific evidence.
Monthly mode uses the editable monthly assumptions on Seasonality.</xltc:text>
  </xltc:threadedComment>
  <xltc:threadedComment ref="B20" dT="2026-09-21T10:51:10.787" personId="{D4FF922D-2D60-4049-9DC2-FA4F5D1DEA11}" id="{6785CAE3-CFF6-2470-208A-A89319C6B57E}">
    <xltc:text>Source: Illustrative teaching assumption, not a market quote. Replace with property-specific evidence.
Booked room rate only. Exclude cleaning fees and lodging taxes.</xltc:text>
  </xltc:threadedComment>
  <xltc:threadedComment ref="B21" dT="2026-09-21T10:51:10.813" personId="{D4FF922D-2D60-4049-9DC2-FA4F5D1DEA11}" id="{A9DD3C2B-656A-820E-98CD-12C83ED24A7D}">
    <xltc:text>Source: Illustrative teaching assumption, not a market quote. Replace with property-specific evidence.
Booked nights / available nights. Not booked nights / all calendar days.</xltc:text>
  </xltc:threadedComment>
  <xltc:threadedComment ref="B22" dT="2026-09-21T10:51:10.841" personId="{D4FF922D-2D60-4049-9DC2-FA4F5D1DEA11}" id="{F9C5C477-EF37-E21B-D4D8-602D1FA2E73F}">
    <xltc:text>Source: Illustrative teaching assumption, not a market quote. Replace with property-specific evidence.
Exclude personal use, maintenance and unavailable nights.</xltc:text>
  </xltc:threadedComment>
  <xltc:threadedComment ref="B23" dT="2026-09-21T10:51:10.88" personId="{D4FF922D-2D60-4049-9DC2-FA4F5D1DEA11}" id="{1114B769-996C-402D-D776-20E854570A3D}">
    <xltc:text>Source: Illustrative teaching assumption, not a market quote. Replace with property-specific evidence.
Expected stays = occupied nights / average stay; fractional stays are estimates.</xltc:text>
  </xltc:threadedComment>
  <xltc:threadedComment ref="B24" dT="2026-09-21T10:51:10.909" personId="{D4FF922D-2D60-4049-9DC2-FA4F5D1DEA11}" id="{2396663A-D789-B9B0-0F63-7D44F15B94AB}">
    <xltc:text>Source: Illustrative teaching assumption, not a market quote. Replace with property-specific evidence.
Revenue charged to the guest; cleaning expense is entered separately.</xltc:text>
  </xltc:threadedComment>
  <xltc:threadedComment ref="B25" dT="2026-09-21T10:51:10.937" personId="{D4FF922D-2D60-4049-9DC2-FA4F5D1DEA11}" id="{0E8DD47B-83FC-6AF4-7EB0-D15B73FB362E}">
    <xltc:text>Source: Illustrative teaching assumption, not a market quote. Replace with property-specific evidence.
Pet / extra-person / other host fees; exclude taxes and guest service fees.</xltc:text>
  </xltc:threadedComment>
  <xltc:threadedComment ref="B26" dT="2026-09-21T10:51:10.967" personId="{D4FF922D-2D60-4049-9DC2-FA4F5D1DEA11}" id="{E944FD39-AC64-1426-212C-2D2E3EC32ED3}">
    <xltc:text>Source: https://www.airbnb.com/help/article/1857
15.5% example single fee. Confirm your actual channel/PMS fee structure.</xltc:text>
  </xltc:threadedComment>
  <xltc:threadedComment ref="B27" dT="2026-09-21T10:51:10.992" personId="{D4FF922D-2D60-4049-9DC2-FA4F5D1DEA11}" id="{AE714B76-A103-F694-5FC3-49ECA4A891F8}">
    <xltc:text>Source: Illustrative teaching assumption, not a market quote. Replace with property-specific evidence.
Set a market replacement cost even when you plan to self-manage.</xltc:text>
  </xltc:threadedComment>
  <xltc:threadedComment ref="B28" dT="2026-09-21T10:51:11.019" personId="{D4FF922D-2D60-4049-9DC2-FA4F5D1DEA11}" id="{C9D7D68E-2A8D-D0E1-E1E3-59C3E37D055A}">
    <xltc:text>Source: Illustrative teaching assumption, not a market quote. Replace with property-specific evidence.
Gross booking includes cleaning and other guest fees.</xltc:text>
  </xltc:threadedComment>
  <xltc:threadedComment ref="B17" dT="2026-09-21T10:51:12.291" personId="{D4FF922D-2D60-4049-9DC2-FA4F5D1DEA11}" id="{3AAE0AE3-54BE-4344-FE60-BC43575A92B1}">
    <xltc:text>Source: Illustrative teaching assumption, not a market quote. Replace with property-specific evidence.
Contract price; obtain parcel-specific comparables.</xltc:text>
  </xltc:threadedComment>
  <xltc:threadedComment ref="B18" dT="2026-09-21T10:51:12.313" personId="{D4FF922D-2D60-4049-9DC2-FA4F5D1DEA11}" id="{E643728A-50B5-2EF8-48BD-4350A3D9ECEB}">
    <xltc:text>Source: Illustrative teaching assumption, not a market quote. Replace with property-specific evidence.
Used when down-payment mode is Percent.</xltc:text>
  </xltc:threadedComment>
  <xltc:threadedComment ref="B31" dT="2026-09-21T10:51:12.343" personId="{D4FF922D-2D60-4049-9DC2-FA4F5D1DEA11}" id="{F37706B1-9E61-C884-D946-C63FBDBE4D17}">
    <xltc:text>Source: Illustrative teaching assumption, not a market quote. Replace with property-specific evidence.
Choose Percent or Dollars, not both.</xltc:text>
  </xltc:threadedComment>
  <xltc:threadedComment ref="B32" dT="2026-09-21T10:51:12.364" personId="{D4FF922D-2D60-4049-9DC2-FA4F5D1DEA11}" id="{6C13592C-CE24-207A-09DF-02A96EB4978A}">
    <xltc:text>Source: Illustrative teaching assumption, not a market quote. Replace with property-specific evidence.
Used only in Dollars mode.</xltc:text>
  </xltc:threadedComment>
  <xltc:threadedComment ref="B33" dT="2026-09-21T10:51:12.385" personId="{D4FF922D-2D60-4049-9DC2-FA4F5D1DEA11}" id="{26F65652-491F-AB6A-EDCB-C877BD1DCEC1}">
    <xltc:text>Source: Illustrative teaching assumption, not a market quote. Replace with property-specific evidence.
Cash closing costs; tax basis treatment is reviewed separately.</xltc:text>
  </xltc:threadedComment>
  <xltc:threadedComment ref="B34" dT="2026-09-21T10:51:12.41" personId="{D4FF922D-2D60-4049-9DC2-FA4F5D1DEA11}" id="{1FD83284-19E9-DE35-E8EA-2051690AAAFA}">
    <xltc:text>Source: Illustrative teaching assumption, not a market quote. Replace with property-specific evidence.
Illustrative fixed rate, not a current lender quote.</xltc:text>
  </xltc:threadedComment>
  <xltc:threadedComment ref="B35" dT="2026-09-21T10:51:12.433" personId="{D4FF922D-2D60-4049-9DC2-FA4F5D1DEA11}" id="{4620D621-412A-62F6-5185-3C36EBDC9AD5}">
    <xltc:text>Source: Illustrative teaching assumption, not a market quote. Replace with property-specific evidence.
Fully amortizing loan; no balloon or interest-only feature.</xltc:text>
  </xltc:threadedComment>
  <xltc:threadedComment ref="B36" dT="2026-09-21T10:51:12.456" personId="{D4FF922D-2D60-4049-9DC2-FA4F5D1DEA11}" id="{5CCA8213-96CA-257E-61E0-E4AF1A484E89}">
    <xltc:text>Source: Illustrative teaching assumption, not a market quote. Replace with property-specific evidence.
Cash work needed before launch.</xltc:text>
  </xltc:threadedComment>
  <xltc:threadedComment ref="B37" dT="2026-09-21T10:51:12.481" personId="{D4FF922D-2D60-4049-9DC2-FA4F5D1DEA11}" id="{E96ACA3A-2CBE-DA8E-20B0-D45AB34445A5}">
    <xltc:text>Source: Illustrative teaching assumption, not a market quote. Replace with property-specific evidence.
Separately tracked from building basis in the tax estimate.</xltc:text>
  </xltc:threadedComment>
  <xltc:threadedComment ref="B38" dT="2026-09-21T10:51:12.509" personId="{D4FF922D-2D60-4049-9DC2-FA4F5D1DEA11}" id="{B67B772A-325D-7F83-B2AE-3F2F7444F24A}">
    <xltc:text>Source: Illustrative teaching assumption, not a market quote. Replace with property-specific evidence.
Liquidity buffer, not included in NOI.</xltc:text>
  </xltc:threadedComment>
  <xltc:threadedComment ref="B39" dT="2026-09-21T10:51:12.533" personId="{D4FF922D-2D60-4049-9DC2-FA4F5D1DEA11}" id="{1C122436-2967-5BFB-3327-01A1B7F12933}">
    <xltc:text>Source: Illustrative teaching assumption, not a market quote. Replace with property-specific evidence.
Appraisal, due diligence, travel and other outlays.</xltc:text>
  </xltc:threadedComment>
  <xltc:threadedComment ref="B40" dT="2026-09-21T10:51:12.555" personId="{D4FF922D-2D60-4049-9DC2-FA4F5D1DEA11}" id="{E7232FAF-6BD7-B6F8-B946-B5B8AC8A93D9}">
    <xltc:text>Source: Illustrative teaching assumption, not a market quote. Replace with property-specific evidence.
Initial fees; recurring costs are entered below.</xltc:text>
  </xltc:threadedComment>
  <xltc:threadedComment ref="B41" dT="2026-09-21T10:51:12.579" personId="{D4FF922D-2D60-4049-9DC2-FA4F5D1DEA11}" id="{1DEF129B-36EF-7CC0-3890-9C3879D02010}">
    <xltc:text>Source: Illustrative teaching assumption, not a market quote. Replace with property-specific evidence.
Other initial cash; avoid duplicate entries.</xltc:text>
  </xltc:threadedComment>
  <xltc:threadedComment ref="B44" dT="2026-09-21T10:51:12.614" personId="{D4FF922D-2D60-4049-9DC2-FA4F5D1DEA11}" id="{103CDE8E-77DB-AABB-1437-35E7F3E4224F}">
    <xltc:text>Source: Illustrative teaching assumption, not a market quote. Replace with property-specific evidence.
Electricity, gas, water and trash.</xltc:text>
  </xltc:threadedComment>
  <xltc:threadedComment ref="B45" dT="2026-09-21T10:51:12.639" personId="{D4FF922D-2D60-4049-9DC2-FA4F5D1DEA11}" id="{EFD5A34C-38E9-D4D8-CCDA-7C36FD49C71F}">
    <xltc:text>Source: Illustrative teaching assumption, not a market quote. Replace with property-specific evidence.
Internet and any required backup.</xltc:text>
  </xltc:threadedComment>
  <xltc:threadedComment ref="B46" dT="2026-09-21T10:51:12.663" personId="{D4FF922D-2D60-4049-9DC2-FA4F5D1DEA11}" id="{C94878FE-FC81-136C-299E-93CA8EB363DB}">
    <xltc:text>Source: Illustrative teaching assumption, not a market quote. Replace with property-specific evidence.
Obtain STR, flood/wind/fire and liability quotes as needed.</xltc:text>
  </xltc:threadedComment>
  <xltc:threadedComment ref="B47" dT="2026-09-21T10:51:12.687" personId="{D4FF922D-2D60-4049-9DC2-FA4F5D1DEA11}" id="{C49226F9-41AF-CC3B-0B50-BE7FD5287D3D}">
    <xltc:text>Source: Illustrative teaching assumption, not a market quote. Replace with property-specific evidence.
Include dues and expected special assessments separately.</xltc:text>
  </xltc:threadedComment>
  <xltc:threadedComment ref="B48" dT="2026-09-21T10:51:12.709" personId="{D4FF922D-2D60-4049-9DC2-FA4F5D1DEA11}" id="{79472849-9BE3-2E6C-DE1E-74CBCE540B3E}">
    <xltc:text>Source: Illustrative teaching assumption, not a market quote. Replace with property-specific evidence.
Use reassessed/post-purchase estimate, not seller exemptions.</xltc:text>
  </xltc:threadedComment>
  <xltc:threadedComment ref="B49" dT="2026-09-21T10:51:12.729" personId="{D4FF922D-2D60-4049-9DC2-FA4F5D1DEA11}" id="{BDE977C6-F440-FA25-A869-0ECC53CBB825}">
    <xltc:text>Source: Illustrative teaching assumption, not a market quote. Replace with property-specific evidence.
PMS, pricing and subscriptions.</xltc:text>
  </xltc:threadedComment>
  <xltc:threadedComment ref="B50" dT="2026-09-21T10:51:12.753" personId="{D4FF922D-2D60-4049-9DC2-FA4F5D1DEA11}" id="{2FACA972-CB19-DEEA-0C57-A3FFEFF24D70}">
    <xltc:text>Source: Illustrative teaching assumption, not a market quote. Replace with property-specific evidence.
Annual recurring fees divided by 12.</xltc:text>
  </xltc:threadedComment>
  <xltc:threadedComment ref="B51" dT="2026-09-21T10:51:12.773" personId="{D4FF922D-2D60-4049-9DC2-FA4F5D1DEA11}" id="{E4EC1B49-B91C-1149-820C-AB08D677C7DA}">
    <xltc:text>Source: Illustrative teaching assumption, not a market quote. Replace with property-specific evidence.
Average service cost; seasonal peaks require liquidity.</xltc:text>
  </xltc:threadedComment>
  <xltc:threadedComment ref="B52" dT="2026-09-21T10:51:12.796" personId="{D4FF922D-2D60-4049-9DC2-FA4F5D1DEA11}" id="{15B64C97-C6D2-5403-C1EA-33EC0C531092}">
    <xltc:text>Source: Illustrative teaching assumption, not a market quote. Replace with property-specific evidence.
Base maintenance spending, not capital improvements.</xltc:text>
  </xltc:threadedComment>
  <xltc:threadedComment ref="B53" dT="2026-09-21T10:51:12.822" personId="{D4FF922D-2D60-4049-9DC2-FA4F5D1DEA11}" id="{38777865-DE0E-3325-796B-38C4D28834A4}">
    <xltc:text>Source: Illustrative teaching assumption, not a market quote. Replace with property-specific evidence.
Only labor not covered by management fee.</xltc:text>
  </xltc:threadedComment>
  <xltc:threadedComment ref="B54" dT="2026-09-21T10:51:12.844" personId="{D4FF922D-2D60-4049-9DC2-FA4F5D1DEA11}" id="{B337D88A-F760-E069-800E-DD100B6500A0}">
    <xltc:text>Source: Illustrative teaching assumption, not a market quote. Replace with property-specific evidence.
Other recurring costs, excluding income tax.</xltc:text>
  </xltc:threadedComment>
  <xltc:threadedComment ref="B55" dT="2026-09-21T10:51:12.866" personId="{D4FF922D-2D60-4049-9DC2-FA4F5D1DEA11}" id="{39883ED7-B974-8D8E-46A9-B40428E6F9D6}">
    <xltc:text>Source: Illustrative teaching assumption, not a market quote. Replace with property-specific evidence.
All-in turnover cost including laundry.</xltc:text>
  </xltc:threadedComment>
  <xltc:threadedComment ref="B56" dT="2026-09-21T10:51:12.89" personId="{D4FF922D-2D60-4049-9DC2-FA4F5D1DEA11}" id="{50C51380-30CF-8D1C-AADD-D10A7EA89B94}">
    <xltc:text>Source: Illustrative teaching assumption, not a market quote. Replace with property-specific evidence.
Usage-linked consumables.</xltc:text>
  </xltc:threadedComment>
  <xltc:threadedComment ref="B57" dT="2026-09-21T10:51:12.917" personId="{D4FF922D-2D60-4049-9DC2-FA4F5D1DEA11}" id="{86DA52A8-F738-87F1-1399-041682A8A55C}">
    <xltc:text>Source: Illustrative teaching assumption, not a market quote. Replace with property-specific evidence.
Additional repair allowance, included in NOI.</xltc:text>
  </xltc:threadedComment>
  <xltc:threadedComment ref="B58" dT="2026-09-21T10:51:12.94" personId="{D4FF922D-2D60-4049-9DC2-FA4F5D1DEA11}" id="{2CA9034B-11CB-5834-4BD7-7CA19CC6F02D}">
    <xltc:text>Source: Illustrative teaching assumption, not a market quote. Replace with property-specific evidence.
Excluded from NOI; deducted in distributable cash flow.</xltc:text>
  </xltc:threadedComment>
  <xltc:threadedComment ref="B59" dT="2026-09-21T10:51:12.967" personId="{D4FF922D-2D60-4049-9DC2-FA4F5D1DEA11}" id="{660CED07-FB92-0C18-70A3-328339477922}">
    <xltc:text>Source: Illustrative teaching assumption, not a market quote. Replace with property-specific evidence.
Of gross booking; guest pass-through lodging tax is excluded.</xltc:text>
  </xltc:threadedComment>
  <xltc:threadedComment ref="B62" dT="2026-09-21T10:51:13.005" personId="{D4FF922D-2D60-4049-9DC2-FA4F5D1DEA11}" id="{5925E32C-C01C-5165-9501-4C724C2BA121}">
    <xltc:text>Source: Illustrative teaching assumption, not a market quote. Replace with property-specific evidence.
After P&amp;I and CapEx reserve.</xltc:text>
  </xltc:threadedComment>
  <xltc:threadedComment ref="B63" dT="2026-09-21T10:51:13.032" personId="{D4FF922D-2D60-4049-9DC2-FA4F5D1DEA11}" id="{D50BDBC4-C5F2-FB40-4889-C1575B00EF1E}">
    <xltc:text>Source: Illustrative teaching assumption, not a market quote. Replace with property-specific evidence.
On all initial cash, including reserves.</xltc:text>
  </xltc:threadedComment>
  <xltc:threadedComment ref="B64" dT="2026-09-21T10:51:13.059" personId="{D4FF922D-2D60-4049-9DC2-FA4F5D1DEA11}" id="{4A3624DF-E77A-E26B-35AE-42841474624B}">
    <xltc:text>Source: Illustrative teaching assumption, not a market quote. Replace with property-specific evidence.
NOI / debt service; lender definitions may differ.</xltc:text>
  </xltc:threadedComment>
  <xltc:threadedComment ref="B65" dT="2026-09-21T10:51:13.086" personId="{D4FF922D-2D60-4049-9DC2-FA4F5D1DEA11}" id="{E2694967-366A-D3E7-8703-427CE58DCB43}">
    <xltc:text>Source: Illustrative teaching assumption, not a market quote. Replace with property-specific evidence.
After debt service and CapEx reserve.</xltc:text>
  </xltc:threadedComment>
  <xltc:threadedComment ref="B66" dT="2026-09-21T10:51:13.109" personId="{D4FF922D-2D60-4049-9DC2-FA4F5D1DEA11}" id="{517D5833-292C-ECD2-7F6F-3E8986709AB0}">
    <xltc:text>Source: Illustrative teaching assumption, not a market quote. Replace with property-specific evidence.
Base occupancy minus break-even, in percentage points.</xltc:text>
  </xltc:threadedComment>
  <xltc:threadedComment ref="B67" dT="2026-09-21T10:51:13.133" personId="{D4FF922D-2D60-4049-9DC2-FA4F5D1DEA11}" id="{F35349C3-8490-F945-A0DA-F1FD4CA936FB}">
    <xltc:text>Source: Illustrative teaching assumption, not a market quote. Replace with property-specific evidence.
Fixed operating costs plus scheduled P&amp;I.</xltc:text>
  </xltc:threadedComment>
  <xltc:threadedComment ref="B70" dT="2026-09-21T10:51:13.168" personId="{D4FF922D-2D60-4049-9DC2-FA4F5D1DEA11}" id="{DD556D78-9131-9A21-3E94-F1F884B7FC0E}">
    <xltc:text>Source: Illustrative teaching assumption, not a market quote. Replace with property-specific evidence.
Annual change; occupancy and available nights held constant.</xltc:text>
  </xltc:threadedComment>
  <xltc:threadedComment ref="B71" dT="2026-09-21T10:51:13.192" personId="{D4FF922D-2D60-4049-9DC2-FA4F5D1DEA11}" id="{2CBCFECC-96AC-8142-92DA-AF77D7DF589B}">
    <xltc:text>Source: Illustrative teaching assumption, not a market quote. Replace with property-specific evidence.
Annual inflation for fixed operating expenses.</xltc:text>
  </xltc:threadedComment>
  <xltc:threadedComment ref="B72" dT="2026-09-21T10:51:13.22" personId="{D4FF922D-2D60-4049-9DC2-FA4F5D1DEA11}" id="{A2BCC863-64D5-2CA1-3339-61103ED33BAA}">
    <xltc:text>Source: Illustrative teaching assumption, not a market quote. Replace with property-specific evidence.
Uncertain, noncash assumption; never used to rescue cash flow.</xltc:text>
  </xltc:threadedComment>
  <xltc:threadedComment ref="B73" dT="2026-09-21T10:51:13.244" personId="{D4FF922D-2D60-4049-9DC2-FA4F5D1DEA11}" id="{169ECC74-766A-711F-A873-F3B7CA9A4DBB}">
    <xltc:text>Source: Illustrative teaching assumption, not a market quote. Replace with property-specific evidence.
Annual growth in per-stay and per-night costs.</xltc:text>
  </xltc:threadedComment>
</xltc:ThreadedComments>
</file>

<file path=xl/threadedcomments/threadedcomment3.xml><?xml version="1.0" encoding="utf-8"?>
<xltc:ThreadedComments xmlns:xltc="http://schemas.microsoft.com/office/spreadsheetml/2018/threadedcomments">
  <xltc:threadedComment ref="C13" dT="2026-09-21T10:53:14.228" personId="{D4FF922D-2D60-4049-9DC2-FA4F5D1DEA11}" id="{114FED1B-FDDB-3406-C90F-F3276B1D8C09}">
    <xltc:text>All monthly inputs are illustrative defaults, not researched local forecasts. Use matched property-level comparable evidence.</xltc:text>
  </xltc:threadedComment>
  <xltc:threadedComment ref="C31" dT="2026-09-21T10:53:14.971" personId="{D4FF922D-2D60-4049-9DC2-FA4F5D1DEA11}" id="{28459155-B323-4EEB-0B4A-BC0E4B2EE05A}">
    <xltc:text>All monthly inputs are illustrative defaults, not researched local forecasts. Use matched property-level comparable evidence.</xltc:text>
  </xltc:threadedComment>
</xltc:ThreadedComments>
</file>

<file path=xl/threadedcomments/threadedcomment4.xml><?xml version="1.0" encoding="utf-8"?>
<xltc:ThreadedComments xmlns:xltc="http://schemas.microsoft.com/office/spreadsheetml/2018/threadedcomments">
  <xltc:threadedComment ref="B13" dT="2026-09-21T10:58:37.292" personId="{D4FF922D-2D60-4049-9DC2-FA4F5D1DEA11}" id="{A5889176-73EE-D961-63B0-883572090F74}">
    <xltc:text>Source: https://www.irs.gov/pub/irs-drop/n-26-11.pdf
Illustrative date. CPA must determine tax acquisition date, not just closing date.</xltc:text>
  </xltc:threadedComment>
  <xltc:threadedComment ref="B14" dT="2026-09-21T10:58:37.318" personId="{D4FF922D-2D60-4049-9DC2-FA4F5D1DEA11}" id="{3F315062-4144-176B-320A-C8580E99BB8B}">
    <xltc:text>Source: https://www.irs.gov/publications/p527
Illustrative date; property must be ready and available for its intended rental use.</xltc:text>
  </xltc:threadedComment>
  <xltc:threadedComment ref="B18" dT="2026-09-21T10:58:37.357" personId="{D4FF922D-2D60-4049-9DC2-FA4F5D1DEA11}" id="{6CE00AE7-DE04-CA07-A283-7981C423E662}">
    <xltc:text>Source: https://www.irs.gov/publications/p527
Illustrative allocation, not an appraisal. Land is not depreciable.</xltc:text>
  </xltc:threadedComment>
  <xltc:threadedComment ref="B19" dT="2026-09-21T10:58:37.385" personId="{D4FF922D-2D60-4049-9DC2-FA4F5D1DEA11}" id="{00A3CF0A-EC89-9850-CF46-5E7825F55EFA}">
    <xltc:text>Source: https://www.irs.gov/publications/p527
Only basis-eligible costs, not all cash closing costs.</xltc:text>
  </xltc:threadedComment>
  <xltc:threadedComment ref="B21" dT="2026-09-21T10:58:37.415" personId="{D4FF922D-2D60-4049-9DC2-FA4F5D1DEA11}" id="{16EFFA63-A861-DD27-0ED5-1470281F7E6D}">
    <xltc:text>Source: https://www.irs.gov/publications/p527
Signed adjustment to remove ineligible costs or add eligible capitalized basis.</xltc:text>
  </xltc:threadedComment>
  <xltc:threadedComment ref="B22" dT="2026-09-21T10:58:37.446" personId="{D4FF922D-2D60-4049-9DC2-FA4F5D1DEA11}" id="{680776C2-820F-AC0F-2174-5A4FE50AE35A}">
    <xltc:text>Source: https://www.irs.gov/publications/p946
Illustrative share of depreciable real-estate basis; not a typical or promised result.</xltc:text>
  </xltc:threadedComment>
  <xltc:threadedComment ref="B24" dT="2026-09-21T10:58:37.487" personId="{D4FF922D-2D60-4049-9DC2-FA4F5D1DEA11}" id="{46AE5CDD-F21A-8A74-AA5C-A6D6FE7E8843}">
    <xltc:text>Source: https://www.irs.gov/publications/p946
Class shares must total 100%. Study-specific asset classification.</xltc:text>
  </xltc:threadedComment>
  <xltc:threadedComment ref="B25" dT="2026-09-21T10:58:37.52" personId="{D4FF922D-2D60-4049-9DC2-FA4F5D1DEA11}" id="{870F4266-D351-D625-1BD2-7749AD3DED93}">
    <xltc:text>Source: https://www.irs.gov/publications/p946
Class shares must total 100%.</xltc:text>
  </xltc:threadedComment>
  <xltc:threadedComment ref="B26" dT="2026-09-21T10:58:37.549" personId="{D4FF922D-2D60-4049-9DC2-FA4F5D1DEA11}" id="{EF41473B-11F2-AD7B-F3B1-84C587F6A3D8}">
    <xltc:text>Source: https://www.irs.gov/publications/p946
Class shares must total 100%.</xltc:text>
  </xltc:threadedComment>
  <xltc:threadedComment ref="B27" dT="2026-09-21T10:58:37.577" personId="{D4FF922D-2D60-4049-9DC2-FA4F5D1DEA11}" id="{0C66E60D-463A-4D30-E394-364F292E70BE}">
    <xltc:text>Source: https://www.irs.gov/publications/p946
39 is a conservative example. CPA decides 27.5 vs 39; seven-day rule does not decide it.</xltc:text>
  </xltc:threadedComment>
  <xltc:threadedComment ref="B28" dT="2026-09-21T10:58:37.606" personId="{D4FF922D-2D60-4049-9DC2-FA4F5D1DEA11}" id="{72320E5E-FA09-AF7B-0B2A-5C98A042E78A}">
    <xltc:text>Source: https://www.irs.gov/pub/irs-drop/n-26-11.pdf
Yes means CPA confirmed post-Jan-19-2025 acquisition, placed-in-service and qualified assets.</xltc:text>
  </xltc:threadedComment>
  <xltc:threadedComment ref="B29" dT="2026-09-21T10:58:37.633" personId="{D4FF922D-2D60-4049-9DC2-FA4F5D1DEA11}" id="{EFA9D4D2-FC2E-54B2-4610-710EE2BD6791}">
    <xltc:text>Source: https://www.irs.gov/pub/irs-drop/n-26-11.pdf
100% statutory rate for qualifying post-Jan-19-2025 property; elections may differ.</xltc:text>
  </xltc:threadedComment>
  <xltc:threadedComment ref="B30" dT="2026-09-21T10:58:37.658" personId="{D4FF922D-2D60-4049-9DC2-FA4F5D1DEA11}" id="{B71A919D-2E45-ACB4-3F72-429F7F996460}">
    <xltc:text>Source: https://www.irs.gov/publications/p946
Yes means asset classifications and allocations are professionally supported.</xltc:text>
  </xltc:threadedComment>
  <xltc:threadedComment ref="B32" dT="2026-09-21T10:58:37.685" personId="{D4FF922D-2D60-4049-9DC2-FA4F5D1DEA11}" id="{420C7F06-6348-1823-B810-03E85F0D025C}">
    <xltc:text>Source: https://www.irs.gov/publications/p946
No double count: furniture is outside the real-estate cost-seg basis.</xltc:text>
  </xltc:threadedComment>
  <xltc:threadedComment ref="B33" dT="2026-09-21T10:58:37.713" personId="{D4FF922D-2D60-4049-9DC2-FA4F5D1DEA11}" id="{A5DE1700-3449-54D8-AA9E-3A6E1D3CC955}">
    <xltc:text>Source: Illustrative teaching assumption, not a market quote. Replace with property-specific evidence.
Illustrative marginal rate; tax brackets, credits and phaseouts are not modeled.</xltc:text>
  </xltc:threadedComment>
  <xltc:threadedComment ref="B34" dT="2026-09-21T10:58:37.735" personId="{D4FF922D-2D60-4049-9DC2-FA4F5D1DEA11}" id="{FF78EDC5-EF80-8733-4E40-FEBA72F04B22}">
    <xltc:text>Source: Illustrative teaching assumption, not a market quote. Replace with property-specific evidence.
Illustrative rate only. No federal deduction for state tax is assumed.</xltc:text>
  </xltc:threadedComment>
  <xltc:threadedComment ref="B35" dT="2026-09-21T10:58:37.758" personId="{D4FF922D-2D60-4049-9DC2-FA4F5D1DEA11}" id="{D0952342-D8E9-77C7-E76F-7108B70A7A77}">
    <xltc:text>Source: Illustrative teaching assumption, not a market quote. Replace with property-specific evidence.
State impact is not modeled until Yes. Federal conformity is not automatic.</xltc:text>
  </xltc:threadedComment>
  <xltc:threadedComment ref="B36" dT="2026-09-21T10:58:37.781" personId="{D4FF922D-2D60-4049-9DC2-FA4F5D1DEA11}" id="{ED8DE2CF-8AF4-EF50-9930-92BEB79B80DE}">
    <xltc:text>Source: Illustrative teaching assumption, not a market quote. Replace with property-specific evidence.
Enter the state-specific amount from your CPA; not copied from federal depreciation.</xltc:text>
  </xltc:threadedComment>
  <xltc:threadedComment ref="B37" dT="2026-09-21T10:58:37.802" personId="{D4FF922D-2D60-4049-9DC2-FA4F5D1DEA11}" id="{A5A39F49-D31E-8E24-385F-D810449AC316}">
    <xltc:text>Source: https://www.irs.gov/publications/p925
Requires facts and records; ownership or 100 hours alone is not enough.</xltc:text>
  </xltc:threadedComment>
  <xltc:threadedComment ref="B38" dT="2026-09-21T10:58:37.824" personId="{D4FF922D-2D60-4049-9DC2-FA4F5D1DEA11}" id="{54082970-A071-2F27-BA7A-18E2545BA9A5}">
    <xltc:text>Source: https://www.irs.gov/publications/p925
CPA confirms STR classification, basis, at-risk, passive and excess-business-loss limits.</xltc:text>
  </xltc:threadedComment>
  <xltc:threadedComment ref="B39" dT="2026-09-21T10:58:37.848" personId="{D4FF922D-2D60-4049-9DC2-FA4F5D1DEA11}" id="{1C098282-35C1-D8FC-23A2-421B5430D689}">
    <xltc:text>Source: https://www.irs.gov/publications/p925
Maximum currently usable deduction dollars after all limits; zero until confirmed.</xltc:text>
  </xltc:threadedComment>
  <xltc:threadedComment ref="B40" dT="2026-09-21T10:58:37.871" personId="{D4FF922D-2D60-4049-9DC2-FA4F5D1DEA11}" id="{81E6717C-4DD2-2AB1-D804-14D972F88756}">
    <xltc:text>Source: Illustrative teaching assumption, not a market quote. Replace with property-specific evidence.
State loss rules reviewed separately.</xltc:text>
  </xltc:threadedComment>
  <xltc:threadedComment ref="B41" dT="2026-09-21T10:58:37.892" personId="{D4FF922D-2D60-4049-9DC2-FA4F5D1DEA11}" id="{4EA122D8-523B-2A22-30EE-423DDE2D4669}">
    <xltc:text>Source: Illustrative teaching assumption, not a market quote. Replace with property-specific evidence.
Maximum currently usable state deduction dollars after limits.</xltc:text>
  </xltc:threadedComment>
  <xltc:threadedComment ref="B42" dT="2026-09-21T10:58:37.914" personId="{D4FF922D-2D60-4049-9DC2-FA4F5D1DEA11}" id="{9320E28A-4B70-5365-BD38-43223C6078A6}">
    <xltc:text>Source: https://www.irs.gov/publications/p527
Signed. Add back unspent expense allowances; include other actual tax adjustments.</xltc:text>
  </xltc:threadedComment>
  <xltc:threadedComment ref="B45" dT="2026-09-21T10:58:37.941" personId="{D4FF922D-2D60-4049-9DC2-FA4F5D1DEA11}" id="{5D5B8366-1700-D57F-12D5-B191D22A0317}">
    <xltc:text>Source: https://www.irs.gov/publications/p946
Half-year GDS example; replace for a different required convention.</xltc:text>
  </xltc:threadedComment>
  <xltc:threadedComment ref="B46" dT="2026-09-21T10:58:37.963" personId="{D4FF922D-2D60-4049-9DC2-FA4F5D1DEA11}" id="{6AB5BD25-A6A2-4DCB-6B65-CBCDB937C170}">
    <xltc:text>Source: https://www.irs.gov/publications/p946
Half-year GDS example; replace for mid-quarter / other treatment.</xltc:text>
  </xltc:threadedComment>
  <xltc:threadedComment ref="B47" dT="2026-09-21T10:58:37.985" personId="{D4FF922D-2D60-4049-9DC2-FA4F5D1DEA11}" id="{838CC585-002F-A5A7-2903-51C4540F70F7}">
    <xltc:text>Source: https://www.irs.gov/publications/p946
Half-year GDS example.</xltc:text>
  </xltc:threadedComment>
  <xltc:threadedComment ref="B48" dT="2026-09-21T10:58:38.006" personId="{D4FF922D-2D60-4049-9DC2-FA4F5D1DEA11}" id="{08D91C13-F3C2-35ED-CDC5-442BCE5572D4}">
    <xltc:text>Source: https://www.irs.gov/publications/p527
5-year half-year example; asset class and convention must be confirmed.</xltc:text>
  </xltc:threadedComment>
  <xltc:threadedComment ref="B49" dT="2026-09-21T10:58:38.026" personId="{D4FF922D-2D60-4049-9DC2-FA4F5D1DEA11}" id="{E4257C76-FC64-57FA-C7ED-1DAB58CE9D70}">
    <xltc:text>Source: https://www.irs.gov/publications/p946
Mid-quarter or ADS rules require CPA-supplied rates; this is not a tax-return engine.</xltc:text>
  </xltc:threadedComment>
</xltc:ThreadedComments>
</file>

<file path=xl/worksheets/_rels/sheet2.xml.rels>&#65279;<?xml version="1.0" encoding="utf-8"?><Relationships xmlns="http://schemas.openxmlformats.org/package/2006/relationships"><Relationship Type="http://schemas.openxmlformats.org/officeDocument/2006/relationships/comments" Target="/xl/comments1.xml" Id="R6eae23e57e54459c" /><Relationship Type="http://schemas.openxmlformats.org/officeDocument/2006/relationships/vmlDrawing" Target="/xl/drawings/vmldrawing.vml" Id="Rebcc4e87b3b749eb" /><Relationship Type="http://schemas.microsoft.com/office/2017/10/relationships/threadedComment" Target="/xl/threadedcomments/threadedcomment.xml" Id="R94421c21c5af4706" /></Relationships>
</file>

<file path=xl/worksheets/_rels/sheet3.xml.rels>&#65279;<?xml version="1.0" encoding="utf-8"?><Relationships xmlns="http://schemas.openxmlformats.org/package/2006/relationships"><Relationship Type="http://schemas.openxmlformats.org/officeDocument/2006/relationships/comments" Target="/xl/comments2.xml" Id="R6683d46486524e4e" /><Relationship Type="http://schemas.openxmlformats.org/officeDocument/2006/relationships/vmlDrawing" Target="/xl/drawings/vmldrawing2.vml" Id="Rd4451669570044ce" /><Relationship Type="http://schemas.microsoft.com/office/2017/10/relationships/threadedComment" Target="/xl/threadedcomments/threadedcomment2.xml" Id="R6285a26561e84932" /></Relationships>
</file>

<file path=xl/worksheets/_rels/sheet4.xml.rels>&#65279;<?xml version="1.0" encoding="utf-8"?><Relationships xmlns="http://schemas.openxmlformats.org/package/2006/relationships"><Relationship Type="http://schemas.openxmlformats.org/officeDocument/2006/relationships/comments" Target="/xl/comments3.xml" Id="R3d5e218fa5574e2d" /><Relationship Type="http://schemas.openxmlformats.org/officeDocument/2006/relationships/vmlDrawing" Target="/xl/drawings/vmldrawing3.vml" Id="Rd82ac7a8be814453" /><Relationship Type="http://schemas.microsoft.com/office/2017/10/relationships/threadedComment" Target="/xl/threadedcomments/threadedcomment3.xml" Id="Rc4a3f717622249e8" /></Relationships>
</file>

<file path=xl/worksheets/_rels/sheet8.xml.rels>&#65279;<?xml version="1.0" encoding="utf-8"?><Relationships xmlns="http://schemas.openxmlformats.org/package/2006/relationships"><Relationship Type="http://schemas.openxmlformats.org/officeDocument/2006/relationships/comments" Target="/xl/comments4.xml" Id="R7e25b650b2004844" /><Relationship Type="http://schemas.openxmlformats.org/officeDocument/2006/relationships/vmlDrawing" Target="/xl/drawings/vmldrawing4.vml" Id="Rd3011af2410749c2" /><Relationship Type="http://schemas.microsoft.com/office/2017/10/relationships/threadedComment" Target="/xl/threadedcomments/threadedcomment4.xml" Id="R04272c13766e4d1b" /></Relationships>
</file>

<file path=xl/worksheets/_rels/sheet9.xml.rels>&#65279;<?xml version="1.0" encoding="utf-8"?><Relationships xmlns="http://schemas.openxmlformats.org/package/2006/relationships"><Relationship Type="http://schemas.openxmlformats.org/officeDocument/2006/relationships/table" Target="/xl/tables/table1.xml" Id="R9dead2bd178541b5" /></Relationships>
</file>

<file path=xl/worksheets/_rels/sheet10.xml.rels>&#65279;<?xml version="1.0" encoding="utf-8"?><Relationships xmlns="http://schemas.openxmlformats.org/package/2006/relationships"><Relationship Type="http://schemas.openxmlformats.org/officeDocument/2006/relationships/table" Target="/xl/tables/table2.xml" Id="R748dc4aa2d8f456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s>
  <x:sheetData>
    <x:row r="1" ht="28" customHeight="1">
      <x:c r="A1" s="202" t="str">
        <x:v>SHORT-TERM RENTAL | Deal analysis toolkit</x:v>
      </x:c>
      <x:c r="B1" s="202" t="str">
        <x:v>SHORT-TERM RENTAL | Deal analysis toolkit</x:v>
      </x:c>
      <x:c r="C1" s="202" t="str">
        <x:v>SHORT-TERM RENTAL | Deal analysis toolkit</x:v>
      </x:c>
      <x:c r="D1" s="202" t="str">
        <x:v>SHORT-TERM RENTAL | Deal analysis toolkit</x:v>
      </x:c>
      <x:c r="E1" s="202" t="str">
        <x:v>SHORT-TERM RENTAL | Deal analysis toolkit</x:v>
      </x:c>
      <x:c r="F1" s="202" t="str">
        <x:v>SHORT-TERM RENTAL | Deal analysis toolkit</x:v>
      </x:c>
      <x:c r="G1" s="202" t="str">
        <x:v>SHORT-TERM RENTAL | Deal analysis toolkit</x:v>
      </x:c>
    </x:row>
    <x:row r="2" ht="24" customHeight="1">
      <x:c r="A2" s="202" t="str">
        <x:v>SHORT-TERM RENTAL | Deal analysis toolkit</x:v>
      </x:c>
      <x:c r="B2" s="202" t="str">
        <x:v>SHORT-TERM RENTAL | Deal analysis toolkit</x:v>
      </x:c>
      <x:c r="C2" s="202" t="str">
        <x:v>SHORT-TERM RENTAL | Deal analysis toolkit</x:v>
      </x:c>
      <x:c r="D2" s="202" t="str">
        <x:v>SHORT-TERM RENTAL | Deal analysis toolkit</x:v>
      </x:c>
      <x:c r="E2" s="202" t="str">
        <x:v>SHORT-TERM RENTAL | Deal analysis toolkit</x:v>
      </x:c>
      <x:c r="F2" s="202" t="str">
        <x:v>SHORT-TERM RENTAL | Deal analysis toolkit</x:v>
      </x:c>
      <x:c r="G2" s="202" t="str">
        <x:v>SHORT-TERM RENTAL | Deal analysis toolkit</x:v>
      </x:c>
    </x:row>
    <x:row r="3" ht="27" customHeight="1">
      <x:c r="A3" s="203" t="str">
        <x:v>Edition 1.0 • September 21, 2026 • All amounts in U.S. dollars • Independent educational tools; not affiliated with Airbnb.</x:v>
      </x:c>
      <x:c r="B3" s="203" t="str">
        <x:v>Edition 1.0 • September 21, 2026 • All amounts in U.S. dollars • Independent educational tools; not affiliated with Airbnb.</x:v>
      </x:c>
      <x:c r="C3" s="203" t="str">
        <x:v>Edition 1.0 • September 21, 2026 • All amounts in U.S. dollars • Independent educational tools; not affiliated with Airbnb.</x:v>
      </x:c>
      <x:c r="D3" s="203" t="str">
        <x:v>Edition 1.0 • September 21, 2026 • All amounts in U.S. dollars • Independent educational tools; not affiliated with Airbnb.</x:v>
      </x:c>
      <x:c r="E3" s="203" t="str">
        <x:v>Edition 1.0 • September 21, 2026 • All amounts in U.S. dollars • Independent educational tools; not affiliated with Airbnb.</x:v>
      </x:c>
      <x:c r="F3" s="203" t="str">
        <x:v>Edition 1.0 • September 21, 2026 • All amounts in U.S. dollars • Independent educational tools; not affiliated with Airbnb.</x:v>
      </x:c>
      <x:c r="G3" s="203" t="str">
        <x:v>Edition 1.0 • September 21, 2026 • All amounts in U.S. dollars • Independent educational tools; not affiliated with Airbnb.</x:v>
      </x:c>
    </x:row>
    <x:row r="4" ht="27" customHeight="1">
      <x:c r="A4" s="203" t="str">
        <x:v>Edition 1.0 • September 21, 2026 • All amounts in U.S. dollars • Independent educational tools; not affiliated with Airbnb.</x:v>
      </x:c>
      <x:c r="B4" s="203" t="str">
        <x:v>Edition 1.0 • September 21, 2026 • All amounts in U.S. dollars • Independent educational tools; not affiliated with Airbnb.</x:v>
      </x:c>
      <x:c r="C4" s="203" t="str">
        <x:v>Edition 1.0 • September 21, 2026 • All amounts in U.S. dollars • Independent educational tools; not affiliated with Airbnb.</x:v>
      </x:c>
      <x:c r="D4" s="203" t="str">
        <x:v>Edition 1.0 • September 21, 2026 • All amounts in U.S. dollars • Independent educational tools; not affiliated with Airbnb.</x:v>
      </x:c>
      <x:c r="E4" s="203" t="str">
        <x:v>Edition 1.0 • September 21, 2026 • All amounts in U.S. dollars • Independent educational tools; not affiliated with Airbnb.</x:v>
      </x:c>
      <x:c r="F4" s="203" t="str">
        <x:v>Edition 1.0 • September 21, 2026 • All amounts in U.S. dollars • Independent educational tools; not affiliated with Airbnb.</x:v>
      </x:c>
      <x:c r="G4" s="203" t="str">
        <x:v>Edition 1.0 • September 21, 2026 • All amounts in U.S. dollars • Independent educational tools; not affiliated with Airbnb.</x:v>
      </x:c>
    </x:row>
    <x:row r="5" ht="27" customHeight="1">
      <x:c r="A5" s="200"/>
      <x:c r="B5" s="200"/>
      <x:c r="C5" s="200"/>
      <x:c r="D5" s="200"/>
      <x:c r="E5" s="200"/>
      <x:c r="F5" s="200"/>
      <x:c r="G5" s="200"/>
    </x:row>
    <x:row r="6" ht="27" customHeight="1">
      <x:c r="A6" s="317" t="str">
        <x:v>01 / PICK YOUR MODEL
Arbitrage = lease a property. Ownership = buy and finance a property.</x:v>
      </x:c>
      <x:c r="B6" s="317" t="str">
        <x:v>01 / PICK YOUR MODEL
Arbitrage = lease a property. Ownership = buy and finance a property.</x:v>
      </x:c>
      <x:c r="C6" s="317" t="str">
        <x:v>01 / PICK YOUR MODEL
Arbitrage = lease a property. Ownership = buy and finance a property.</x:v>
      </x:c>
      <x:c r="D6" s="317"/>
      <x:c r="E6" s="317" t="str">
        <x:v>02 / REPLACE THE BLUE CELLS
Every prefilled deal input is an illustration, not researched property data.</x:v>
      </x:c>
      <x:c r="F6" s="317" t="str">
        <x:v>02 / REPLACE THE BLUE CELLS
Every prefilled deal input is an illustration, not researched property data.</x:v>
      </x:c>
      <x:c r="G6" s="317" t="str">
        <x:v>02 / REPLACE THE BLUE CELLS
Every prefilled deal input is an illustration, not researched property data.</x:v>
      </x:c>
    </x:row>
    <x:row r="7" ht="27" customHeight="1">
      <x:c r="A7" s="199" t="str">
        <x:v>01 / PICK YOUR MODEL
Arbitrage = lease a property. Ownership = buy and finance a property.</x:v>
      </x:c>
      <x:c r="B7" s="199" t="str">
        <x:v>01 / PICK YOUR MODEL
Arbitrage = lease a property. Ownership = buy and finance a property.</x:v>
      </x:c>
      <x:c r="C7" s="199" t="str">
        <x:v>01 / PICK YOUR MODEL
Arbitrage = lease a property. Ownership = buy and finance a property.</x:v>
      </x:c>
      <x:c r="D7" s="200"/>
      <x:c r="E7" s="199" t="str">
        <x:v>02 / REPLACE THE BLUE CELLS
Every prefilled deal input is an illustration, not researched property data.</x:v>
      </x:c>
      <x:c r="F7" s="199" t="str">
        <x:v>02 / REPLACE THE BLUE CELLS
Every prefilled deal input is an illustration, not researched property data.</x:v>
      </x:c>
      <x:c r="G7" s="199" t="str">
        <x:v>02 / REPLACE THE BLUE CELLS
Every prefilled deal input is an illustration, not researched property data.</x:v>
      </x:c>
    </x:row>
    <x:row r="8" ht="27" customHeight="1">
      <x:c r="A8" s="199" t="str">
        <x:v>01 / PICK YOUR MODEL
Arbitrage = lease a property. Ownership = buy and finance a property.</x:v>
      </x:c>
      <x:c r="B8" s="199" t="str">
        <x:v>01 / PICK YOUR MODEL
Arbitrage = lease a property. Ownership = buy and finance a property.</x:v>
      </x:c>
      <x:c r="C8" s="199" t="str">
        <x:v>01 / PICK YOUR MODEL
Arbitrage = lease a property. Ownership = buy and finance a property.</x:v>
      </x:c>
      <x:c r="D8" s="200"/>
      <x:c r="E8" s="199" t="str">
        <x:v>02 / REPLACE THE BLUE CELLS
Every prefilled deal input is an illustration, not researched property data.</x:v>
      </x:c>
      <x:c r="F8" s="199" t="str">
        <x:v>02 / REPLACE THE BLUE CELLS
Every prefilled deal input is an illustration, not researched property data.</x:v>
      </x:c>
      <x:c r="G8" s="199" t="str">
        <x:v>02 / REPLACE THE BLUE CELLS
Every prefilled deal input is an illustration, not researched property data.</x:v>
      </x:c>
    </x:row>
    <x:row r="9" ht="27" customHeight="1">
      <x:c r="A9" s="200"/>
      <x:c r="B9" s="200"/>
      <x:c r="C9" s="200"/>
      <x:c r="D9" s="200"/>
      <x:c r="E9" s="200"/>
      <x:c r="F9" s="200"/>
      <x:c r="G9" s="200"/>
    </x:row>
    <x:row r="10" ht="27" customHeight="1">
      <x:c r="A10" s="200"/>
      <x:c r="B10" s="200"/>
      <x:c r="C10" s="200"/>
      <x:c r="D10" s="200"/>
      <x:c r="E10" s="200"/>
      <x:c r="F10" s="200"/>
      <x:c r="G10" s="200"/>
    </x:row>
    <x:row r="11" ht="27" customHeight="1">
      <x:c r="A11" s="199" t="str">
        <x:v>GET TO A DEFENSIBLE DECISION</x:v>
      </x:c>
      <x:c r="B11" s="199" t="str">
        <x:v>GET TO A DEFENSIBLE DECISION</x:v>
      </x:c>
      <x:c r="C11" s="199" t="str">
        <x:v>GET TO A DEFENSIBLE DECISION</x:v>
      </x:c>
      <x:c r="D11" s="199" t="str">
        <x:v>GET TO A DEFENSIBLE DECISION</x:v>
      </x:c>
      <x:c r="E11" s="199" t="str">
        <x:v>GET TO A DEFENSIBLE DECISION</x:v>
      </x:c>
      <x:c r="F11" s="199" t="str">
        <x:v>GET TO A DEFENSIBLE DECISION</x:v>
      </x:c>
      <x:c r="G11" s="199" t="str">
        <x:v>GET TO A DEFENSIBLE DECISION</x:v>
      </x:c>
    </x:row>
    <x:row r="12" ht="27" customHeight="1">
      <x:c r="A12" s="200" t="str">
        <x:v>1. Complete the Buy Box Checklist's hard gates. Confirm the exact parcel, STR use, permit availability, HOA/building rules and written landlord or lender approval.</x:v>
      </x:c>
      <x:c r="B12" s="200" t="str">
        <x:v>1. Complete the Buy Box Checklist's hard gates. Confirm the exact parcel, STR use, permit availability, HOA/building rules and written landlord or lender approval.</x:v>
      </x:c>
      <x:c r="C12" s="200" t="str">
        <x:v>1. Complete the Buy Box Checklist's hard gates. Confirm the exact parcel, STR use, permit availability, HOA/building rules and written landlord or lender approval.</x:v>
      </x:c>
      <x:c r="D12" s="200" t="str">
        <x:v>1. Complete the Buy Box Checklist's hard gates. Confirm the exact parcel, STR use, permit availability, HOA/building rules and written landlord or lender approval.</x:v>
      </x:c>
      <x:c r="E12" s="200" t="str">
        <x:v>1. Complete the Buy Box Checklist's hard gates. Confirm the exact parcel, STR use, permit availability, HOA/building rules and written landlord or lender approval.</x:v>
      </x:c>
      <x:c r="F12" s="200" t="str">
        <x:v>1. Complete the Buy Box Checklist's hard gates. Confirm the exact parcel, STR use, permit availability, HOA/building rules and written landlord or lender approval.</x:v>
      </x:c>
      <x:c r="G12" s="200" t="str">
        <x:v>1. Complete the Buy Box Checklist's hard gates. Confirm the exact parcel, STR use, permit availability, HOA/building rules and written landlord or lender approval.</x:v>
      </x:c>
    </x:row>
    <x:row r="13" ht="27" customHeight="1">
      <x:c r="A13" s="200" t="str">
        <x:v>1. Complete the Buy Box Checklist's hard gates. Confirm the exact parcel, STR use, permit availability, HOA/building rules and written landlord or lender approval.</x:v>
      </x:c>
      <x:c r="B13" s="200" t="str">
        <x:v>1. Complete the Buy Box Checklist's hard gates. Confirm the exact parcel, STR use, permit availability, HOA/building rules and written landlord or lender approval.</x:v>
      </x:c>
      <x:c r="C13" s="200" t="str">
        <x:v>1. Complete the Buy Box Checklist's hard gates. Confirm the exact parcel, STR use, permit availability, HOA/building rules and written landlord or lender approval.</x:v>
      </x:c>
      <x:c r="D13" s="200" t="str">
        <x:v>1. Complete the Buy Box Checklist's hard gates. Confirm the exact parcel, STR use, permit availability, HOA/building rules and written landlord or lender approval.</x:v>
      </x:c>
      <x:c r="E13" s="200" t="str">
        <x:v>1. Complete the Buy Box Checklist's hard gates. Confirm the exact parcel, STR use, permit availability, HOA/building rules and written landlord or lender approval.</x:v>
      </x:c>
      <x:c r="F13" s="200" t="str">
        <x:v>1. Complete the Buy Box Checklist's hard gates. Confirm the exact parcel, STR use, permit availability, HOA/building rules and written landlord or lender approval.</x:v>
      </x:c>
      <x:c r="G13" s="200" t="str">
        <x:v>1. Complete the Buy Box Checklist's hard gates. Confirm the exact parcel, STR use, permit availability, HOA/building rules and written landlord or lender approval.</x:v>
      </x:c>
    </x:row>
    <x:row r="14" ht="27" customHeight="1">
      <x:c r="A14" s="200" t="str">
        <x:v>2. Build a matched comp set: location, legal guest capacity, bedrooms, amenities, quality, availability and trailing 12-month performance. Do not paste a citywide average into a property forecast.</x:v>
      </x:c>
      <x:c r="B14" s="200" t="str">
        <x:v>2. Build a matched comp set: location, legal guest capacity, bedrooms, amenities, quality, availability and trailing 12-month performance. Do not paste a citywide average into a property forecast.</x:v>
      </x:c>
      <x:c r="C14" s="200" t="str">
        <x:v>2. Build a matched comp set: location, legal guest capacity, bedrooms, amenities, quality, availability and trailing 12-month performance. Do not paste a citywide average into a property forecast.</x:v>
      </x:c>
      <x:c r="D14" s="200" t="str">
        <x:v>2. Build a matched comp set: location, legal guest capacity, bedrooms, amenities, quality, availability and trailing 12-month performance. Do not paste a citywide average into a property forecast.</x:v>
      </x:c>
      <x:c r="E14" s="200" t="str">
        <x:v>2. Build a matched comp set: location, legal guest capacity, bedrooms, amenities, quality, availability and trailing 12-month performance. Do not paste a citywide average into a property forecast.</x:v>
      </x:c>
      <x:c r="F14" s="200" t="str">
        <x:v>2. Build a matched comp set: location, legal guest capacity, bedrooms, amenities, quality, availability and trailing 12-month performance. Do not paste a citywide average into a property forecast.</x:v>
      </x:c>
      <x:c r="G14" s="200" t="str">
        <x:v>2. Build a matched comp set: location, legal guest capacity, bedrooms, amenities, quality, availability and trailing 12-month performance. Do not paste a citywide average into a property forecast.</x:v>
      </x:c>
    </x:row>
    <x:row r="15" ht="27" customHeight="1">
      <x:c r="A15" s="200" t="str">
        <x:v>2. Build a matched comp set: location, legal guest capacity, bedrooms, amenities, quality, availability and trailing 12-month performance. Do not paste a citywide average into a property forecast.</x:v>
      </x:c>
      <x:c r="B15" s="200" t="str">
        <x:v>2. Build a matched comp set: location, legal guest capacity, bedrooms, amenities, quality, availability and trailing 12-month performance. Do not paste a citywide average into a property forecast.</x:v>
      </x:c>
      <x:c r="C15" s="200" t="str">
        <x:v>2. Build a matched comp set: location, legal guest capacity, bedrooms, amenities, quality, availability and trailing 12-month performance. Do not paste a citywide average into a property forecast.</x:v>
      </x:c>
      <x:c r="D15" s="200" t="str">
        <x:v>2. Build a matched comp set: location, legal guest capacity, bedrooms, amenities, quality, availability and trailing 12-month performance. Do not paste a citywide average into a property forecast.</x:v>
      </x:c>
      <x:c r="E15" s="200" t="str">
        <x:v>2. Build a matched comp set: location, legal guest capacity, bedrooms, amenities, quality, availability and trailing 12-month performance. Do not paste a citywide average into a property forecast.</x:v>
      </x:c>
      <x:c r="F15" s="200" t="str">
        <x:v>2. Build a matched comp set: location, legal guest capacity, bedrooms, amenities, quality, availability and trailing 12-month performance. Do not paste a citywide average into a property forecast.</x:v>
      </x:c>
      <x:c r="G15" s="200" t="str">
        <x:v>2. Build a matched comp set: location, legal guest capacity, bedrooms, amenities, quality, availability and trailing 12-month performance. Do not paste a citywide average into a property forecast.</x:v>
      </x:c>
    </x:row>
    <x:row r="16" ht="27" customHeight="1">
      <x:c r="A16" s="200" t="str">
        <x:v>3. Replace all blue assumptions on the relevant calculator tab. Gray/white formulas recalculate. Green formula text pulls from another tab. Yellow flags need attention.</x:v>
      </x:c>
      <x:c r="B16" s="200" t="str">
        <x:v>3. Replace all blue assumptions on the relevant calculator tab. Gray/white formulas recalculate. Green formula text pulls from another tab. Yellow flags need attention.</x:v>
      </x:c>
      <x:c r="C16" s="200" t="str">
        <x:v>3. Replace all blue assumptions on the relevant calculator tab. Gray/white formulas recalculate. Green formula text pulls from another tab. Yellow flags need attention.</x:v>
      </x:c>
      <x:c r="D16" s="200" t="str">
        <x:v>3. Replace all blue assumptions on the relevant calculator tab. Gray/white formulas recalculate. Green formula text pulls from another tab. Yellow flags need attention.</x:v>
      </x:c>
      <x:c r="E16" s="200" t="str">
        <x:v>3. Replace all blue assumptions on the relevant calculator tab. Gray/white formulas recalculate. Green formula text pulls from another tab. Yellow flags need attention.</x:v>
      </x:c>
      <x:c r="F16" s="200" t="str">
        <x:v>3. Replace all blue assumptions on the relevant calculator tab. Gray/white formulas recalculate. Green formula text pulls from another tab. Yellow flags need attention.</x:v>
      </x:c>
      <x:c r="G16" s="200" t="str">
        <x:v>3. Replace all blue assumptions on the relevant calculator tab. Gray/white formulas recalculate. Green formula text pulls from another tab. Yellow flags need attention.</x:v>
      </x:c>
    </x:row>
    <x:row r="17" ht="27" customHeight="1">
      <x:c r="A17" s="200" t="str">
        <x:v>3. Replace all blue assumptions on the relevant calculator tab. Gray/white formulas recalculate. Green formula text pulls from another tab. Yellow flags need attention.</x:v>
      </x:c>
      <x:c r="B17" s="200" t="str">
        <x:v>3. Replace all blue assumptions on the relevant calculator tab. Gray/white formulas recalculate. Green formula text pulls from another tab. Yellow flags need attention.</x:v>
      </x:c>
      <x:c r="C17" s="200" t="str">
        <x:v>3. Replace all blue assumptions on the relevant calculator tab. Gray/white formulas recalculate. Green formula text pulls from another tab. Yellow flags need attention.</x:v>
      </x:c>
      <x:c r="D17" s="200" t="str">
        <x:v>3. Replace all blue assumptions on the relevant calculator tab. Gray/white formulas recalculate. Green formula text pulls from another tab. Yellow flags need attention.</x:v>
      </x:c>
      <x:c r="E17" s="200" t="str">
        <x:v>3. Replace all blue assumptions on the relevant calculator tab. Gray/white formulas recalculate. Green formula text pulls from another tab. Yellow flags need attention.</x:v>
      </x:c>
      <x:c r="F17" s="200" t="str">
        <x:v>3. Replace all blue assumptions on the relevant calculator tab. Gray/white formulas recalculate. Green formula text pulls from another tab. Yellow flags need attention.</x:v>
      </x:c>
      <x:c r="G17" s="200" t="str">
        <x:v>3. Replace all blue assumptions on the relevant calculator tab. Gray/white formulas recalculate. Green formula text pulls from another tab. Yellow flags need attention.</x:v>
      </x:c>
    </x:row>
    <x:row r="18" ht="27" customHeight="1">
      <x:c r="A18" s="200" t="str">
        <x:v>4. Use Monthly revenue mode only after replacing all 12 months on Seasonality. Check the Scenarios tab; the Base column must reconcile with your model.</x:v>
      </x:c>
      <x:c r="B18" s="200" t="str">
        <x:v>4. Use Monthly revenue mode only after replacing all 12 months on Seasonality. Check the Scenarios tab; the Base column must reconcile with your model.</x:v>
      </x:c>
      <x:c r="C18" s="200" t="str">
        <x:v>4. Use Monthly revenue mode only after replacing all 12 months on Seasonality. Check the Scenarios tab; the Base column must reconcile with your model.</x:v>
      </x:c>
      <x:c r="D18" s="200" t="str">
        <x:v>4. Use Monthly revenue mode only after replacing all 12 months on Seasonality. Check the Scenarios tab; the Base column must reconcile with your model.</x:v>
      </x:c>
      <x:c r="E18" s="200" t="str">
        <x:v>4. Use Monthly revenue mode only after replacing all 12 months on Seasonality. Check the Scenarios tab; the Base column must reconcile with your model.</x:v>
      </x:c>
      <x:c r="F18" s="200" t="str">
        <x:v>4. Use Monthly revenue mode only after replacing all 12 months on Seasonality. Check the Scenarios tab; the Base column must reconcile with your model.</x:v>
      </x:c>
      <x:c r="G18" s="200" t="str">
        <x:v>4. Use Monthly revenue mode only after replacing all 12 months on Seasonality. Check the Scenarios tab; the Base column must reconcile with your model.</x:v>
      </x:c>
    </x:row>
    <x:row r="19" ht="27" customHeight="1">
      <x:c r="A19" s="200" t="str">
        <x:v>4. Use Monthly revenue mode only after replacing all 12 months on Seasonality. Check the Scenarios tab; the Base column must reconcile with your model.</x:v>
      </x:c>
      <x:c r="B19" s="200" t="str">
        <x:v>4. Use Monthly revenue mode only after replacing all 12 months on Seasonality. Check the Scenarios tab; the Base column must reconcile with your model.</x:v>
      </x:c>
      <x:c r="C19" s="200" t="str">
        <x:v>4. Use Monthly revenue mode only after replacing all 12 months on Seasonality. Check the Scenarios tab; the Base column must reconcile with your model.</x:v>
      </x:c>
      <x:c r="D19" s="200" t="str">
        <x:v>4. Use Monthly revenue mode only after replacing all 12 months on Seasonality. Check the Scenarios tab; the Base column must reconcile with your model.</x:v>
      </x:c>
      <x:c r="E19" s="200" t="str">
        <x:v>4. Use Monthly revenue mode only after replacing all 12 months on Seasonality. Check the Scenarios tab; the Base column must reconcile with your model.</x:v>
      </x:c>
      <x:c r="F19" s="200" t="str">
        <x:v>4. Use Monthly revenue mode only after replacing all 12 months on Seasonality. Check the Scenarios tab; the Base column must reconcile with your model.</x:v>
      </x:c>
      <x:c r="G19" s="200" t="str">
        <x:v>4. Use Monthly revenue mode only after replacing all 12 months on Seasonality. Check the Scenarios tab; the Base column must reconcile with your model.</x:v>
      </x:c>
    </x:row>
    <x:row r="20" ht="27" customHeight="1">
      <x:c r="A20" s="200" t="str">
        <x:v>5. Review cash flow before tax planning. Take the Tax Cost Segregation tab to a qualified professional. Confirm uncertain facts and preserve your evidence before signing.</x:v>
      </x:c>
      <x:c r="B20" s="200" t="str">
        <x:v>5. Review cash flow before tax planning. Take the Tax Cost Segregation tab to a qualified professional. Confirm uncertain facts and preserve your evidence before signing.</x:v>
      </x:c>
      <x:c r="C20" s="200" t="str">
        <x:v>5. Review cash flow before tax planning. Take the Tax Cost Segregation tab to a qualified professional. Confirm uncertain facts and preserve your evidence before signing.</x:v>
      </x:c>
      <x:c r="D20" s="200" t="str">
        <x:v>5. Review cash flow before tax planning. Take the Tax Cost Segregation tab to a qualified professional. Confirm uncertain facts and preserve your evidence before signing.</x:v>
      </x:c>
      <x:c r="E20" s="200" t="str">
        <x:v>5. Review cash flow before tax planning. Take the Tax Cost Segregation tab to a qualified professional. Confirm uncertain facts and preserve your evidence before signing.</x:v>
      </x:c>
      <x:c r="F20" s="200" t="str">
        <x:v>5. Review cash flow before tax planning. Take the Tax Cost Segregation tab to a qualified professional. Confirm uncertain facts and preserve your evidence before signing.</x:v>
      </x:c>
      <x:c r="G20" s="200" t="str">
        <x:v>5. Review cash flow before tax planning. Take the Tax Cost Segregation tab to a qualified professional. Confirm uncertain facts and preserve your evidence before signing.</x:v>
      </x:c>
    </x:row>
    <x:row r="21" ht="27" customHeight="1">
      <x:c r="A21" s="200" t="str">
        <x:v>5. Review cash flow before tax planning. Take the Tax Cost Segregation tab to a qualified professional. Confirm uncertain facts and preserve your evidence before signing.</x:v>
      </x:c>
      <x:c r="B21" s="200" t="str">
        <x:v>5. Review cash flow before tax planning. Take the Tax Cost Segregation tab to a qualified professional. Confirm uncertain facts and preserve your evidence before signing.</x:v>
      </x:c>
      <x:c r="C21" s="200" t="str">
        <x:v>5. Review cash flow before tax planning. Take the Tax Cost Segregation tab to a qualified professional. Confirm uncertain facts and preserve your evidence before signing.</x:v>
      </x:c>
      <x:c r="D21" s="200" t="str">
        <x:v>5. Review cash flow before tax planning. Take the Tax Cost Segregation tab to a qualified professional. Confirm uncertain facts and preserve your evidence before signing.</x:v>
      </x:c>
      <x:c r="E21" s="200" t="str">
        <x:v>5. Review cash flow before tax planning. Take the Tax Cost Segregation tab to a qualified professional. Confirm uncertain facts and preserve your evidence before signing.</x:v>
      </x:c>
      <x:c r="F21" s="200" t="str">
        <x:v>5. Review cash flow before tax planning. Take the Tax Cost Segregation tab to a qualified professional. Confirm uncertain facts and preserve your evidence before signing.</x:v>
      </x:c>
      <x:c r="G21" s="200" t="str">
        <x:v>5. Review cash flow before tax planning. Take the Tax Cost Segregation tab to a qualified professional. Confirm uncertain facts and preserve your evidence before signing.</x:v>
      </x:c>
    </x:row>
    <x:row r="22" ht="27" customHeight="1">
      <x:c r="A22" s="200"/>
      <x:c r="B22" s="200"/>
      <x:c r="C22" s="200"/>
      <x:c r="D22" s="200"/>
      <x:c r="E22" s="200"/>
      <x:c r="F22" s="200"/>
      <x:c r="G22" s="200"/>
    </x:row>
    <x:row r="23" ht="27" customHeight="1">
      <x:c r="A23" s="200"/>
      <x:c r="B23" s="200"/>
      <x:c r="C23" s="200"/>
      <x:c r="D23" s="200"/>
      <x:c r="E23" s="200"/>
      <x:c r="F23" s="200"/>
      <x:c r="G23" s="200"/>
    </x:row>
    <x:row r="24" ht="27" customHeight="1">
      <x:c r="A24" s="200"/>
      <x:c r="B24" s="200"/>
      <x:c r="C24" s="200"/>
      <x:c r="D24" s="200"/>
      <x:c r="E24" s="200"/>
      <x:c r="F24" s="200"/>
      <x:c r="G24" s="200"/>
    </x:row>
    <x:row r="25" ht="27" customHeight="1">
      <x:c r="A25" s="199" t="str">
        <x:v>WHAT EACH TAB DOES</x:v>
      </x:c>
      <x:c r="B25" s="199" t="str">
        <x:v>WHAT EACH TAB DOES</x:v>
      </x:c>
      <x:c r="C25" s="199" t="str">
        <x:v>WHAT EACH TAB DOES</x:v>
      </x:c>
      <x:c r="D25" s="199" t="str">
        <x:v>WHAT EACH TAB DOES</x:v>
      </x:c>
      <x:c r="E25" s="199" t="str">
        <x:v>WHAT EACH TAB DOES</x:v>
      </x:c>
      <x:c r="F25" s="199" t="str">
        <x:v>WHAT EACH TAB DOES</x:v>
      </x:c>
      <x:c r="G25" s="199" t="str">
        <x:v>WHAT EACH TAB DOES</x:v>
      </x:c>
    </x:row>
    <x:row r="26" ht="27" customHeight="1">
      <x:c r="A26" s="200" t="str">
        <x:v>Arbitrage Calculator / Full startup cash, lease economics, operating cash flow, break-even, payback and a permission-first screening result.</x:v>
      </x:c>
      <x:c r="B26" s="200" t="str">
        <x:v>Arbitrage Calculator / Full startup cash, lease economics, operating cash flow, break-even, payback and a permission-first screening result.</x:v>
      </x:c>
      <x:c r="C26" s="200" t="str">
        <x:v>Arbitrage Calculator / Full startup cash, lease economics, operating cash flow, break-even, payback and a permission-first screening result.</x:v>
      </x:c>
      <x:c r="D26" s="200" t="str">
        <x:v>Arbitrage Calculator / Full startup cash, lease economics, operating cash flow, break-even, payback and a permission-first screening result.</x:v>
      </x:c>
      <x:c r="E26" s="200" t="str">
        <x:v>Arbitrage Calculator / Full startup cash, lease economics, operating cash flow, break-even, payback and a permission-first screening result.</x:v>
      </x:c>
      <x:c r="F26" s="200" t="str">
        <x:v>Arbitrage Calculator / Full startup cash, lease economics, operating cash flow, break-even, payback and a permission-first screening result.</x:v>
      </x:c>
      <x:c r="G26" s="200" t="str">
        <x:v>Arbitrage Calculator / Full startup cash, lease economics, operating cash flow, break-even, payback and a permission-first screening result.</x:v>
      </x:c>
    </x:row>
    <x:row r="27" ht="27" customHeight="1">
      <x:c r="A27" s="200" t="str">
        <x:v>Arbitrage Calculator / Full startup cash, lease economics, operating cash flow, break-even, payback and a permission-first screening result.</x:v>
      </x:c>
      <x:c r="B27" s="200" t="str">
        <x:v>Arbitrage Calculator / Full startup cash, lease economics, operating cash flow, break-even, payback and a permission-first screening result.</x:v>
      </x:c>
      <x:c r="C27" s="200" t="str">
        <x:v>Arbitrage Calculator / Full startup cash, lease economics, operating cash flow, break-even, payback and a permission-first screening result.</x:v>
      </x:c>
      <x:c r="D27" s="200" t="str">
        <x:v>Arbitrage Calculator / Full startup cash, lease economics, operating cash flow, break-even, payback and a permission-first screening result.</x:v>
      </x:c>
      <x:c r="E27" s="200" t="str">
        <x:v>Arbitrage Calculator / Full startup cash, lease economics, operating cash flow, break-even, payback and a permission-first screening result.</x:v>
      </x:c>
      <x:c r="F27" s="200" t="str">
        <x:v>Arbitrage Calculator / Full startup cash, lease economics, operating cash flow, break-even, payback and a permission-first screening result.</x:v>
      </x:c>
      <x:c r="G27" s="200" t="str">
        <x:v>Arbitrage Calculator / Full startup cash, lease economics, operating cash flow, break-even, payback and a permission-first screening result.</x:v>
      </x:c>
    </x:row>
    <x:row r="28" ht="27" customHeight="1">
      <x:c r="A28" s="200" t="str">
        <x:v>Property Ownership Calculator / Acquisition cash, NOI, fixed-rate debt, cap rate, DSCR, cash-on-cash and cash break-even.</x:v>
      </x:c>
      <x:c r="B28" s="200" t="str">
        <x:v>Property Ownership Calculator / Acquisition cash, NOI, fixed-rate debt, cap rate, DSCR, cash-on-cash and cash break-even.</x:v>
      </x:c>
      <x:c r="C28" s="200" t="str">
        <x:v>Property Ownership Calculator / Acquisition cash, NOI, fixed-rate debt, cap rate, DSCR, cash-on-cash and cash break-even.</x:v>
      </x:c>
      <x:c r="D28" s="200" t="str">
        <x:v>Property Ownership Calculator / Acquisition cash, NOI, fixed-rate debt, cap rate, DSCR, cash-on-cash and cash break-even.</x:v>
      </x:c>
      <x:c r="E28" s="200" t="str">
        <x:v>Property Ownership Calculator / Acquisition cash, NOI, fixed-rate debt, cap rate, DSCR, cash-on-cash and cash break-even.</x:v>
      </x:c>
      <x:c r="F28" s="200" t="str">
        <x:v>Property Ownership Calculator / Acquisition cash, NOI, fixed-rate debt, cap rate, DSCR, cash-on-cash and cash break-even.</x:v>
      </x:c>
      <x:c r="G28" s="200" t="str">
        <x:v>Property Ownership Calculator / Acquisition cash, NOI, fixed-rate debt, cap rate, DSCR, cash-on-cash and cash break-even.</x:v>
      </x:c>
    </x:row>
    <x:row r="29" ht="27" customHeight="1">
      <x:c r="A29" s="200" t="str">
        <x:v>Property Ownership Calculator / Acquisition cash, NOI, fixed-rate debt, cap rate, DSCR, cash-on-cash and cash break-even.</x:v>
      </x:c>
      <x:c r="B29" s="200" t="str">
        <x:v>Property Ownership Calculator / Acquisition cash, NOI, fixed-rate debt, cap rate, DSCR, cash-on-cash and cash break-even.</x:v>
      </x:c>
      <x:c r="C29" s="200" t="str">
        <x:v>Property Ownership Calculator / Acquisition cash, NOI, fixed-rate debt, cap rate, DSCR, cash-on-cash and cash break-even.</x:v>
      </x:c>
      <x:c r="D29" s="200" t="str">
        <x:v>Property Ownership Calculator / Acquisition cash, NOI, fixed-rate debt, cap rate, DSCR, cash-on-cash and cash break-even.</x:v>
      </x:c>
      <x:c r="E29" s="200" t="str">
        <x:v>Property Ownership Calculator / Acquisition cash, NOI, fixed-rate debt, cap rate, DSCR, cash-on-cash and cash break-even.</x:v>
      </x:c>
      <x:c r="F29" s="200" t="str">
        <x:v>Property Ownership Calculator / Acquisition cash, NOI, fixed-rate debt, cap rate, DSCR, cash-on-cash and cash break-even.</x:v>
      </x:c>
      <x:c r="G29" s="200" t="str">
        <x:v>Property Ownership Calculator / Acquisition cash, NOI, fixed-rate debt, cap rate, DSCR, cash-on-cash and cash break-even.</x:v>
      </x:c>
    </x:row>
    <x:row r="30" ht="27" customHeight="1">
      <x:c r="A30" s="200" t="str">
        <x:v>Seasonality / Optional monthly ADR, occupancy and available-night underwriting; also displays monthly net cash flow.</x:v>
      </x:c>
      <x:c r="B30" s="200" t="str">
        <x:v>Seasonality / Optional monthly ADR, occupancy and available-night underwriting; also displays monthly net cash flow.</x:v>
      </x:c>
      <x:c r="C30" s="200" t="str">
        <x:v>Seasonality / Optional monthly ADR, occupancy and available-night underwriting; also displays monthly net cash flow.</x:v>
      </x:c>
      <x:c r="D30" s="200" t="str">
        <x:v>Seasonality / Optional monthly ADR, occupancy and available-night underwriting; also displays monthly net cash flow.</x:v>
      </x:c>
      <x:c r="E30" s="200" t="str">
        <x:v>Seasonality / Optional monthly ADR, occupancy and available-night underwriting; also displays monthly net cash flow.</x:v>
      </x:c>
      <x:c r="F30" s="200" t="str">
        <x:v>Seasonality / Optional monthly ADR, occupancy and available-night underwriting; also displays monthly net cash flow.</x:v>
      </x:c>
      <x:c r="G30" s="200" t="str">
        <x:v>Seasonality / Optional monthly ADR, occupancy and available-night underwriting; also displays monthly net cash flow.</x:v>
      </x:c>
    </x:row>
    <x:row r="31" ht="27" customHeight="1">
      <x:c r="A31" s="200" t="str">
        <x:v>Seasonality / Optional monthly ADR, occupancy and available-night underwriting; also displays monthly net cash flow.</x:v>
      </x:c>
      <x:c r="B31" s="200" t="str">
        <x:v>Seasonality / Optional monthly ADR, occupancy and available-night underwriting; also displays monthly net cash flow.</x:v>
      </x:c>
      <x:c r="C31" s="200" t="str">
        <x:v>Seasonality / Optional monthly ADR, occupancy and available-night underwriting; also displays monthly net cash flow.</x:v>
      </x:c>
      <x:c r="D31" s="200" t="str">
        <x:v>Seasonality / Optional monthly ADR, occupancy and available-night underwriting; also displays monthly net cash flow.</x:v>
      </x:c>
      <x:c r="E31" s="200" t="str">
        <x:v>Seasonality / Optional monthly ADR, occupancy and available-night underwriting; also displays monthly net cash flow.</x:v>
      </x:c>
      <x:c r="F31" s="200" t="str">
        <x:v>Seasonality / Optional monthly ADR, occupancy and available-night underwriting; also displays monthly net cash flow.</x:v>
      </x:c>
      <x:c r="G31" s="200" t="str">
        <x:v>Seasonality / Optional monthly ADR, occupancy and available-night underwriting; also displays monthly net cash flow.</x:v>
      </x:c>
    </x:row>
    <x:row r="32" ht="27" customHeight="1">
      <x:c r="A32" s="200" t="str">
        <x:v>Scenarios / Conservative, base and aggressive stress assumptions. They are not probabilities or market forecasts.</x:v>
      </x:c>
      <x:c r="B32" s="200" t="str">
        <x:v>Scenarios / Conservative, base and aggressive stress assumptions. They are not probabilities or market forecasts.</x:v>
      </x:c>
      <x:c r="C32" s="200" t="str">
        <x:v>Scenarios / Conservative, base and aggressive stress assumptions. They are not probabilities or market forecasts.</x:v>
      </x:c>
      <x:c r="D32" s="200" t="str">
        <x:v>Scenarios / Conservative, base and aggressive stress assumptions. They are not probabilities or market forecasts.</x:v>
      </x:c>
      <x:c r="E32" s="200" t="str">
        <x:v>Scenarios / Conservative, base and aggressive stress assumptions. They are not probabilities or market forecasts.</x:v>
      </x:c>
      <x:c r="F32" s="200" t="str">
        <x:v>Scenarios / Conservative, base and aggressive stress assumptions. They are not probabilities or market forecasts.</x:v>
      </x:c>
      <x:c r="G32" s="200" t="str">
        <x:v>Scenarios / Conservative, base and aggressive stress assumptions. They are not probabilities or market forecasts.</x:v>
      </x:c>
    </x:row>
    <x:row r="33" ht="27" customHeight="1">
      <x:c r="A33" s="200" t="str">
        <x:v>Scenarios / Conservative, base and aggressive stress assumptions. They are not probabilities or market forecasts.</x:v>
      </x:c>
      <x:c r="B33" s="200" t="str">
        <x:v>Scenarios / Conservative, base and aggressive stress assumptions. They are not probabilities or market forecasts.</x:v>
      </x:c>
      <x:c r="C33" s="200" t="str">
        <x:v>Scenarios / Conservative, base and aggressive stress assumptions. They are not probabilities or market forecasts.</x:v>
      </x:c>
      <x:c r="D33" s="200" t="str">
        <x:v>Scenarios / Conservative, base and aggressive stress assumptions. They are not probabilities or market forecasts.</x:v>
      </x:c>
      <x:c r="E33" s="200" t="str">
        <x:v>Scenarios / Conservative, base and aggressive stress assumptions. They are not probabilities or market forecasts.</x:v>
      </x:c>
      <x:c r="F33" s="200" t="str">
        <x:v>Scenarios / Conservative, base and aggressive stress assumptions. They are not probabilities or market forecasts.</x:v>
      </x:c>
      <x:c r="G33" s="200" t="str">
        <x:v>Scenarios / Conservative, base and aggressive stress assumptions. They are not probabilities or market forecasts.</x:v>
      </x:c>
    </x:row>
    <x:row r="34" ht="27" customHeight="1">
      <x:c r="A34" s="200" t="str">
        <x:v>Loan Amortization + Five Year Projection / First 60 scheduled payments, cash flow and principal buildup; no sale or refinancing assumed.</x:v>
      </x:c>
      <x:c r="B34" s="200" t="str">
        <x:v>Loan Amortization + Five Year Projection / First 60 scheduled payments, cash flow and principal buildup; no sale or refinancing assumed.</x:v>
      </x:c>
      <x:c r="C34" s="200" t="str">
        <x:v>Loan Amortization + Five Year Projection / First 60 scheduled payments, cash flow and principal buildup; no sale or refinancing assumed.</x:v>
      </x:c>
      <x:c r="D34" s="200" t="str">
        <x:v>Loan Amortization + Five Year Projection / First 60 scheduled payments, cash flow and principal buildup; no sale or refinancing assumed.</x:v>
      </x:c>
      <x:c r="E34" s="200" t="str">
        <x:v>Loan Amortization + Five Year Projection / First 60 scheduled payments, cash flow and principal buildup; no sale or refinancing assumed.</x:v>
      </x:c>
      <x:c r="F34" s="200" t="str">
        <x:v>Loan Amortization + Five Year Projection / First 60 scheduled payments, cash flow and principal buildup; no sale or refinancing assumed.</x:v>
      </x:c>
      <x:c r="G34" s="200" t="str">
        <x:v>Loan Amortization + Five Year Projection / First 60 scheduled payments, cash flow and principal buildup; no sale or refinancing assumed.</x:v>
      </x:c>
    </x:row>
    <x:row r="35" ht="27" customHeight="1">
      <x:c r="A35" s="200" t="str">
        <x:v>Loan Amortization + Five Year Projection / First 60 scheduled payments, cash flow and principal buildup; no sale or refinancing assumed.</x:v>
      </x:c>
      <x:c r="B35" s="200" t="str">
        <x:v>Loan Amortization + Five Year Projection / First 60 scheduled payments, cash flow and principal buildup; no sale or refinancing assumed.</x:v>
      </x:c>
      <x:c r="C35" s="200" t="str">
        <x:v>Loan Amortization + Five Year Projection / First 60 scheduled payments, cash flow and principal buildup; no sale or refinancing assumed.</x:v>
      </x:c>
      <x:c r="D35" s="200" t="str">
        <x:v>Loan Amortization + Five Year Projection / First 60 scheduled payments, cash flow and principal buildup; no sale or refinancing assumed.</x:v>
      </x:c>
      <x:c r="E35" s="200" t="str">
        <x:v>Loan Amortization + Five Year Projection / First 60 scheduled payments, cash flow and principal buildup; no sale or refinancing assumed.</x:v>
      </x:c>
      <x:c r="F35" s="200" t="str">
        <x:v>Loan Amortization + Five Year Projection / First 60 scheduled payments, cash flow and principal buildup; no sale or refinancing assumed.</x:v>
      </x:c>
      <x:c r="G35" s="200" t="str">
        <x:v>Loan Amortization + Five Year Projection / First 60 scheduled payments, cash flow and principal buildup; no sale or refinancing assumed.</x:v>
      </x:c>
    </x:row>
    <x:row r="36" ht="27" customHeight="1">
      <x:c r="A36" s="200" t="str">
        <x:v>Tax Cost Segregation / Illustrative first-year depreciation and conditional marginal tax impacts; no automatic active-income loss benefit.</x:v>
      </x:c>
      <x:c r="B36" s="200" t="str">
        <x:v>Tax Cost Segregation / Illustrative first-year depreciation and conditional marginal tax impacts; no automatic active-income loss benefit.</x:v>
      </x:c>
      <x:c r="C36" s="200" t="str">
        <x:v>Tax Cost Segregation / Illustrative first-year depreciation and conditional marginal tax impacts; no automatic active-income loss benefit.</x:v>
      </x:c>
      <x:c r="D36" s="200" t="str">
        <x:v>Tax Cost Segregation / Illustrative first-year depreciation and conditional marginal tax impacts; no automatic active-income loss benefit.</x:v>
      </x:c>
      <x:c r="E36" s="200" t="str">
        <x:v>Tax Cost Segregation / Illustrative first-year depreciation and conditional marginal tax impacts; no automatic active-income loss benefit.</x:v>
      </x:c>
      <x:c r="F36" s="200" t="str">
        <x:v>Tax Cost Segregation / Illustrative first-year depreciation and conditional marginal tax impacts; no automatic active-income loss benefit.</x:v>
      </x:c>
      <x:c r="G36" s="200" t="str">
        <x:v>Tax Cost Segregation / Illustrative first-year depreciation and conditional marginal tax impacts; no automatic active-income loss benefit.</x:v>
      </x:c>
    </x:row>
    <x:row r="37" ht="27" customHeight="1">
      <x:c r="A37" s="200" t="str">
        <x:v>Tax Cost Segregation / Illustrative first-year depreciation and conditional marginal tax impacts; no automatic active-income loss benefit.</x:v>
      </x:c>
      <x:c r="B37" s="200" t="str">
        <x:v>Tax Cost Segregation / Illustrative first-year depreciation and conditional marginal tax impacts; no automatic active-income loss benefit.</x:v>
      </x:c>
      <x:c r="C37" s="200" t="str">
        <x:v>Tax Cost Segregation / Illustrative first-year depreciation and conditional marginal tax impacts; no automatic active-income loss benefit.</x:v>
      </x:c>
      <x:c r="D37" s="200" t="str">
        <x:v>Tax Cost Segregation / Illustrative first-year depreciation and conditional marginal tax impacts; no automatic active-income loss benefit.</x:v>
      </x:c>
      <x:c r="E37" s="200" t="str">
        <x:v>Tax Cost Segregation / Illustrative first-year depreciation and conditional marginal tax impacts; no automatic active-income loss benefit.</x:v>
      </x:c>
      <x:c r="F37" s="200" t="str">
        <x:v>Tax Cost Segregation / Illustrative first-year depreciation and conditional marginal tax impacts; no automatic active-income loss benefit.</x:v>
      </x:c>
      <x:c r="G37" s="200" t="str">
        <x:v>Tax Cost Segregation / Illustrative first-year depreciation and conditional marginal tax impacts; no automatic active-income loss benefit.</x:v>
      </x:c>
    </x:row>
    <x:row r="38" ht="27" customHeight="1">
      <x:c r="A38" s="200" t="str">
        <x:v>Assumptions Definitions + Tested Examples / Formula conventions, sources, limits and results of arithmetic tests.</x:v>
      </x:c>
      <x:c r="B38" s="200" t="str">
        <x:v>Assumptions Definitions + Tested Examples / Formula conventions, sources, limits and results of arithmetic tests.</x:v>
      </x:c>
      <x:c r="C38" s="200" t="str">
        <x:v>Assumptions Definitions + Tested Examples / Formula conventions, sources, limits and results of arithmetic tests.</x:v>
      </x:c>
      <x:c r="D38" s="200" t="str">
        <x:v>Assumptions Definitions + Tested Examples / Formula conventions, sources, limits and results of arithmetic tests.</x:v>
      </x:c>
      <x:c r="E38" s="200" t="str">
        <x:v>Assumptions Definitions + Tested Examples / Formula conventions, sources, limits and results of arithmetic tests.</x:v>
      </x:c>
      <x:c r="F38" s="200" t="str">
        <x:v>Assumptions Definitions + Tested Examples / Formula conventions, sources, limits and results of arithmetic tests.</x:v>
      </x:c>
      <x:c r="G38" s="200" t="str">
        <x:v>Assumptions Definitions + Tested Examples / Formula conventions, sources, limits and results of arithmetic tests.</x:v>
      </x:c>
    </x:row>
    <x:row r="39" ht="27" customHeight="1">
      <x:c r="A39" s="200" t="str">
        <x:v>Assumptions Definitions + Tested Examples / Formula conventions, sources, limits and results of arithmetic tests.</x:v>
      </x:c>
      <x:c r="B39" s="200" t="str">
        <x:v>Assumptions Definitions + Tested Examples / Formula conventions, sources, limits and results of arithmetic tests.</x:v>
      </x:c>
      <x:c r="C39" s="200" t="str">
        <x:v>Assumptions Definitions + Tested Examples / Formula conventions, sources, limits and results of arithmetic tests.</x:v>
      </x:c>
      <x:c r="D39" s="200" t="str">
        <x:v>Assumptions Definitions + Tested Examples / Formula conventions, sources, limits and results of arithmetic tests.</x:v>
      </x:c>
      <x:c r="E39" s="200" t="str">
        <x:v>Assumptions Definitions + Tested Examples / Formula conventions, sources, limits and results of arithmetic tests.</x:v>
      </x:c>
      <x:c r="F39" s="200" t="str">
        <x:v>Assumptions Definitions + Tested Examples / Formula conventions, sources, limits and results of arithmetic tests.</x:v>
      </x:c>
      <x:c r="G39" s="200" t="str">
        <x:v>Assumptions Definitions + Tested Examples / Formula conventions, sources, limits and results of arithmetic tests.</x:v>
      </x:c>
    </x:row>
    <x:row r="40" ht="27" customHeight="1">
      <x:c r="A40" s="200"/>
      <x:c r="B40" s="200"/>
      <x:c r="C40" s="200"/>
      <x:c r="D40" s="200"/>
      <x:c r="E40" s="200"/>
      <x:c r="F40" s="200"/>
      <x:c r="G40" s="200"/>
    </x:row>
    <x:row r="41" ht="27" customHeight="1">
      <x:c r="A41" s="200"/>
      <x:c r="B41" s="200"/>
      <x:c r="C41" s="200"/>
      <x:c r="D41" s="200"/>
      <x:c r="E41" s="200"/>
      <x:c r="F41" s="200"/>
      <x:c r="G41" s="200"/>
    </x:row>
    <x:row r="42" ht="27" customHeight="1">
      <x:c r="A42" s="200"/>
      <x:c r="B42" s="200"/>
      <x:c r="C42" s="200"/>
      <x:c r="D42" s="200"/>
      <x:c r="E42" s="200"/>
      <x:c r="F42" s="200"/>
      <x:c r="G42" s="200"/>
    </x:row>
    <x:row r="43" ht="27" customHeight="1">
      <x:c r="A43" s="199" t="str">
        <x:v>READ THESE CONVENTIONS ONCE</x:v>
      </x:c>
      <x:c r="B43" s="199" t="str">
        <x:v>READ THESE CONVENTIONS ONCE</x:v>
      </x:c>
      <x:c r="C43" s="199" t="str">
        <x:v>READ THESE CONVENTIONS ONCE</x:v>
      </x:c>
      <x:c r="D43" s="199" t="str">
        <x:v>READ THESE CONVENTIONS ONCE</x:v>
      </x:c>
      <x:c r="E43" s="199" t="str">
        <x:v>READ THESE CONVENTIONS ONCE</x:v>
      </x:c>
      <x:c r="F43" s="199" t="str">
        <x:v>READ THESE CONVENTIONS ONCE</x:v>
      </x:c>
      <x:c r="G43" s="199" t="str">
        <x:v>READ THESE CONVENTIONS ONCE</x:v>
      </x:c>
    </x:row>
    <x:row r="44" ht="27" customHeight="1">
      <x:c r="A44" s="200" t="str">
        <x:v>Revenue includes room income and host-charged cleaning/other guest fees. Platform fees apply to that total. Pass-through lodging taxes and the platform's guest service fee are excluded.</x:v>
      </x:c>
      <x:c r="B44" s="200" t="str">
        <x:v>Revenue includes room income and host-charged cleaning/other guest fees. Platform fees apply to that total. Pass-through lodging taxes and the platform's guest service fee are excluded.</x:v>
      </x:c>
      <x:c r="C44" s="200" t="str">
        <x:v>Revenue includes room income and host-charged cleaning/other guest fees. Platform fees apply to that total. Pass-through lodging taxes and the platform's guest service fee are excluded.</x:v>
      </x:c>
      <x:c r="D44" s="200" t="str">
        <x:v>Revenue includes room income and host-charged cleaning/other guest fees. Platform fees apply to that total. Pass-through lodging taxes and the platform's guest service fee are excluded.</x:v>
      </x:c>
      <x:c r="E44" s="200" t="str">
        <x:v>Revenue includes room income and host-charged cleaning/other guest fees. Platform fees apply to that total. Pass-through lodging taxes and the platform's guest service fee are excluded.</x:v>
      </x:c>
      <x:c r="F44" s="200" t="str">
        <x:v>Revenue includes room income and host-charged cleaning/other guest fees. Platform fees apply to that total. Pass-through lodging taxes and the platform's guest service fee are excluded.</x:v>
      </x:c>
      <x:c r="G44" s="200" t="str">
        <x:v>Revenue includes room income and host-charged cleaning/other guest fees. Platform fees apply to that total. Pass-through lodging taxes and the platform's guest service fee are excluded.</x:v>
      </x:c>
    </x:row>
    <x:row r="45" ht="27" customHeight="1">
      <x:c r="A45" s="200" t="str">
        <x:v>Revenue includes room income and host-charged cleaning/other guest fees. Platform fees apply to that total. Pass-through lodging taxes and the platform's guest service fee are excluded.</x:v>
      </x:c>
      <x:c r="B45" s="200" t="str">
        <x:v>Revenue includes room income and host-charged cleaning/other guest fees. Platform fees apply to that total. Pass-through lodging taxes and the platform's guest service fee are excluded.</x:v>
      </x:c>
      <x:c r="C45" s="200" t="str">
        <x:v>Revenue includes room income and host-charged cleaning/other guest fees. Platform fees apply to that total. Pass-through lodging taxes and the platform's guest service fee are excluded.</x:v>
      </x:c>
      <x:c r="D45" s="200" t="str">
        <x:v>Revenue includes room income and host-charged cleaning/other guest fees. Platform fees apply to that total. Pass-through lodging taxes and the platform's guest service fee are excluded.</x:v>
      </x:c>
      <x:c r="E45" s="200" t="str">
        <x:v>Revenue includes room income and host-charged cleaning/other guest fees. Platform fees apply to that total. Pass-through lodging taxes and the platform's guest service fee are excluded.</x:v>
      </x:c>
      <x:c r="F45" s="200" t="str">
        <x:v>Revenue includes room income and host-charged cleaning/other guest fees. Platform fees apply to that total. Pass-through lodging taxes and the platform's guest service fee are excluded.</x:v>
      </x:c>
      <x:c r="G45" s="200" t="str">
        <x:v>Revenue includes room income and host-charged cleaning/other guest fees. Platform fees apply to that total. Pass-through lodging taxes and the platform's guest service fee are excluded.</x:v>
      </x:c>
    </x:row>
    <x:row r="46" ht="27" customHeight="1">
      <x:c r="A46" s="200" t="str">
        <x:v>NOI excludes debt service, income tax, depreciation and CapEx reserves. Distributable ownership cash flow deducts P&amp;I and CapEx reserves. Arbitrage cash flow includes replacement reserves.</x:v>
      </x:c>
      <x:c r="B46" s="200" t="str">
        <x:v>NOI excludes debt service, income tax, depreciation and CapEx reserves. Distributable ownership cash flow deducts P&amp;I and CapEx reserves. Arbitrage cash flow includes replacement reserves.</x:v>
      </x:c>
      <x:c r="C46" s="200" t="str">
        <x:v>NOI excludes debt service, income tax, depreciation and CapEx reserves. Distributable ownership cash flow deducts P&amp;I and CapEx reserves. Arbitrage cash flow includes replacement reserves.</x:v>
      </x:c>
      <x:c r="D46" s="200" t="str">
        <x:v>NOI excludes debt service, income tax, depreciation and CapEx reserves. Distributable ownership cash flow deducts P&amp;I and CapEx reserves. Arbitrage cash flow includes replacement reserves.</x:v>
      </x:c>
      <x:c r="E46" s="200" t="str">
        <x:v>NOI excludes debt service, income tax, depreciation and CapEx reserves. Distributable ownership cash flow deducts P&amp;I and CapEx reserves. Arbitrage cash flow includes replacement reserves.</x:v>
      </x:c>
      <x:c r="F46" s="200" t="str">
        <x:v>NOI excludes debt service, income tax, depreciation and CapEx reserves. Distributable ownership cash flow deducts P&amp;I and CapEx reserves. Arbitrage cash flow includes replacement reserves.</x:v>
      </x:c>
      <x:c r="G46" s="200" t="str">
        <x:v>NOI excludes debt service, income tax, depreciation and CapEx reserves. Distributable ownership cash flow deducts P&amp;I and CapEx reserves. Arbitrage cash flow includes replacement reserves.</x:v>
      </x:c>
    </x:row>
    <x:row r="47" ht="27" customHeight="1">
      <x:c r="A47" s="200" t="str">
        <x:v>NOI excludes debt service, income tax, depreciation and CapEx reserves. Distributable ownership cash flow deducts P&amp;I and CapEx reserves. Arbitrage cash flow includes replacement reserves.</x:v>
      </x:c>
      <x:c r="B47" s="200" t="str">
        <x:v>NOI excludes debt service, income tax, depreciation and CapEx reserves. Distributable ownership cash flow deducts P&amp;I and CapEx reserves. Arbitrage cash flow includes replacement reserves.</x:v>
      </x:c>
      <x:c r="C47" s="200" t="str">
        <x:v>NOI excludes debt service, income tax, depreciation and CapEx reserves. Distributable ownership cash flow deducts P&amp;I and CapEx reserves. Arbitrage cash flow includes replacement reserves.</x:v>
      </x:c>
      <x:c r="D47" s="200" t="str">
        <x:v>NOI excludes debt service, income tax, depreciation and CapEx reserves. Distributable ownership cash flow deducts P&amp;I and CapEx reserves. Arbitrage cash flow includes replacement reserves.</x:v>
      </x:c>
      <x:c r="E47" s="200" t="str">
        <x:v>NOI excludes debt service, income tax, depreciation and CapEx reserves. Distributable ownership cash flow deducts P&amp;I and CapEx reserves. Arbitrage cash flow includes replacement reserves.</x:v>
      </x:c>
      <x:c r="F47" s="200" t="str">
        <x:v>NOI excludes debt service, income tax, depreciation and CapEx reserves. Distributable ownership cash flow deducts P&amp;I and CapEx reserves. Arbitrage cash flow includes replacement reserves.</x:v>
      </x:c>
      <x:c r="G47" s="200" t="str">
        <x:v>NOI excludes debt service, income tax, depreciation and CapEx reserves. Distributable ownership cash flow deducts P&amp;I and CapEx reserves. Arbitrage cash flow includes replacement reserves.</x:v>
      </x:c>
    </x:row>
    <x:row r="48" ht="27" customHeight="1">
      <x:c r="A48" s="200" t="str">
        <x:v>Initial capital includes deposits, prepaid launch funding and reserves. These are cash committed, not necessarily expenses. Payback is a simple stabilized approximation, not an IRR or a month-by-month startup repayment schedule.</x:v>
      </x:c>
      <x:c r="B48" s="200" t="str">
        <x:v>Initial capital includes deposits, prepaid launch funding and reserves. These are cash committed, not necessarily expenses. Payback is a simple stabilized approximation, not an IRR or a month-by-month startup repayment schedule.</x:v>
      </x:c>
      <x:c r="C48" s="200" t="str">
        <x:v>Initial capital includes deposits, prepaid launch funding and reserves. These are cash committed, not necessarily expenses. Payback is a simple stabilized approximation, not an IRR or a month-by-month startup repayment schedule.</x:v>
      </x:c>
      <x:c r="D48" s="200" t="str">
        <x:v>Initial capital includes deposits, prepaid launch funding and reserves. These are cash committed, not necessarily expenses. Payback is a simple stabilized approximation, not an IRR or a month-by-month startup repayment schedule.</x:v>
      </x:c>
      <x:c r="E48" s="200" t="str">
        <x:v>Initial capital includes deposits, prepaid launch funding and reserves. These are cash committed, not necessarily expenses. Payback is a simple stabilized approximation, not an IRR or a month-by-month startup repayment schedule.</x:v>
      </x:c>
      <x:c r="F48" s="200" t="str">
        <x:v>Initial capital includes deposits, prepaid launch funding and reserves. These are cash committed, not necessarily expenses. Payback is a simple stabilized approximation, not an IRR or a month-by-month startup repayment schedule.</x:v>
      </x:c>
      <x:c r="G48" s="200" t="str">
        <x:v>Initial capital includes deposits, prepaid launch funding and reserves. These are cash committed, not necessarily expenses. Payback is a simple stabilized approximation, not an IRR or a month-by-month startup repayment schedule.</x:v>
      </x:c>
    </x:row>
    <x:row r="49" ht="27" customHeight="1">
      <x:c r="A49" s="200" t="str">
        <x:v>Initial capital includes deposits, prepaid launch funding and reserves. These are cash committed, not necessarily expenses. Payback is a simple stabilized approximation, not an IRR or a month-by-month startup repayment schedule.</x:v>
      </x:c>
      <x:c r="B49" s="200" t="str">
        <x:v>Initial capital includes deposits, prepaid launch funding and reserves. These are cash committed, not necessarily expenses. Payback is a simple stabilized approximation, not an IRR or a month-by-month startup repayment schedule.</x:v>
      </x:c>
      <x:c r="C49" s="200" t="str">
        <x:v>Initial capital includes deposits, prepaid launch funding and reserves. These are cash committed, not necessarily expenses. Payback is a simple stabilized approximation, not an IRR or a month-by-month startup repayment schedule.</x:v>
      </x:c>
      <x:c r="D49" s="200" t="str">
        <x:v>Initial capital includes deposits, prepaid launch funding and reserves. These are cash committed, not necessarily expenses. Payback is a simple stabilized approximation, not an IRR or a month-by-month startup repayment schedule.</x:v>
      </x:c>
      <x:c r="E49" s="200" t="str">
        <x:v>Initial capital includes deposits, prepaid launch funding and reserves. These are cash committed, not necessarily expenses. Payback is a simple stabilized approximation, not an IRR or a month-by-month startup repayment schedule.</x:v>
      </x:c>
      <x:c r="F49" s="200" t="str">
        <x:v>Initial capital includes deposits, prepaid launch funding and reserves. These are cash committed, not necessarily expenses. Payback is a simple stabilized approximation, not an IRR or a month-by-month startup repayment schedule.</x:v>
      </x:c>
      <x:c r="G49" s="200" t="str">
        <x:v>Initial capital includes deposits, prepaid launch funding and reserves. These are cash committed, not necessarily expenses. Payback is a simple stabilized approximation, not an IRR or a month-by-month startup repayment schedule.</x:v>
      </x:c>
    </x:row>
    <x:row r="50" ht="27" customHeight="1">
      <x:c r="A50" s="200" t="str">
        <x:v>Break-even holds the modeled average stay, weighted ADR/occupancy and cost structure constant. Above 100% occupancy is impossible. N/M means undefined, not meaningful or infeasible.</x:v>
      </x:c>
      <x:c r="B50" s="200" t="str">
        <x:v>Break-even holds the modeled average stay, weighted ADR/occupancy and cost structure constant. Above 100% occupancy is impossible. N/M means undefined, not meaningful or infeasible.</x:v>
      </x:c>
      <x:c r="C50" s="200" t="str">
        <x:v>Break-even holds the modeled average stay, weighted ADR/occupancy and cost structure constant. Above 100% occupancy is impossible. N/M means undefined, not meaningful or infeasible.</x:v>
      </x:c>
      <x:c r="D50" s="200" t="str">
        <x:v>Break-even holds the modeled average stay, weighted ADR/occupancy and cost structure constant. Above 100% occupancy is impossible. N/M means undefined, not meaningful or infeasible.</x:v>
      </x:c>
      <x:c r="E50" s="200" t="str">
        <x:v>Break-even holds the modeled average stay, weighted ADR/occupancy and cost structure constant. Above 100% occupancy is impossible. N/M means undefined, not meaningful or infeasible.</x:v>
      </x:c>
      <x:c r="F50" s="200" t="str">
        <x:v>Break-even holds the modeled average stay, weighted ADR/occupancy and cost structure constant. Above 100% occupancy is impossible. N/M means undefined, not meaningful or infeasible.</x:v>
      </x:c>
      <x:c r="G50" s="200" t="str">
        <x:v>Break-even holds the modeled average stay, weighted ADR/occupancy and cost structure constant. Above 100% occupancy is impossible. N/M means undefined, not meaningful or infeasible.</x:v>
      </x:c>
    </x:row>
    <x:row r="51" ht="27" customHeight="1">
      <x:c r="A51" s="200" t="str">
        <x:v>Break-even holds the modeled average stay, weighted ADR/occupancy and cost structure constant. Above 100% occupancy is impossible. N/M means undefined, not meaningful or infeasible.</x:v>
      </x:c>
      <x:c r="B51" s="200" t="str">
        <x:v>Break-even holds the modeled average stay, weighted ADR/occupancy and cost structure constant. Above 100% occupancy is impossible. N/M means undefined, not meaningful or infeasible.</x:v>
      </x:c>
      <x:c r="C51" s="200" t="str">
        <x:v>Break-even holds the modeled average stay, weighted ADR/occupancy and cost structure constant. Above 100% occupancy is impossible. N/M means undefined, not meaningful or infeasible.</x:v>
      </x:c>
      <x:c r="D51" s="200" t="str">
        <x:v>Break-even holds the modeled average stay, weighted ADR/occupancy and cost structure constant. Above 100% occupancy is impossible. N/M means undefined, not meaningful or infeasible.</x:v>
      </x:c>
      <x:c r="E51" s="200" t="str">
        <x:v>Break-even holds the modeled average stay, weighted ADR/occupancy and cost structure constant. Above 100% occupancy is impossible. N/M means undefined, not meaningful or infeasible.</x:v>
      </x:c>
      <x:c r="F51" s="200" t="str">
        <x:v>Break-even holds the modeled average stay, weighted ADR/occupancy and cost structure constant. Above 100% occupancy is impossible. N/M means undefined, not meaningful or infeasible.</x:v>
      </x:c>
      <x:c r="G51" s="200" t="str">
        <x:v>Break-even holds the modeled average stay, weighted ADR/occupancy and cost structure constant. Above 100% occupancy is impossible. N/M means undefined, not meaningful or infeasible.</x:v>
      </x:c>
    </x:row>
    <x:row r="52" ht="27" customHeight="1">
      <x:c r="A52" s="200" t="str">
        <x:v>Defaults deliberately show a thin/negative deal after full costs. A 'MEETS YOUR TARGETS' result means only that your inputs pass your chosen thresholds; it is not independent validation or a recommendation.</x:v>
      </x:c>
      <x:c r="B52" s="200" t="str">
        <x:v>Defaults deliberately show a thin/negative deal after full costs. A 'MEETS YOUR TARGETS' result means only that your inputs pass your chosen thresholds; it is not independent validation or a recommendation.</x:v>
      </x:c>
      <x:c r="C52" s="200" t="str">
        <x:v>Defaults deliberately show a thin/negative deal after full costs. A 'MEETS YOUR TARGETS' result means only that your inputs pass your chosen thresholds; it is not independent validation or a recommendation.</x:v>
      </x:c>
      <x:c r="D52" s="200" t="str">
        <x:v>Defaults deliberately show a thin/negative deal after full costs. A 'MEETS YOUR TARGETS' result means only that your inputs pass your chosen thresholds; it is not independent validation or a recommendation.</x:v>
      </x:c>
      <x:c r="E52" s="200" t="str">
        <x:v>Defaults deliberately show a thin/negative deal after full costs. A 'MEETS YOUR TARGETS' result means only that your inputs pass your chosen thresholds; it is not independent validation or a recommendation.</x:v>
      </x:c>
      <x:c r="F52" s="200" t="str">
        <x:v>Defaults deliberately show a thin/negative deal after full costs. A 'MEETS YOUR TARGETS' result means only that your inputs pass your chosen thresholds; it is not independent validation or a recommendation.</x:v>
      </x:c>
      <x:c r="G52" s="200" t="str">
        <x:v>Defaults deliberately show a thin/negative deal after full costs. A 'MEETS YOUR TARGETS' result means only that your inputs pass your chosen thresholds; it is not independent validation or a recommendation.</x:v>
      </x:c>
    </x:row>
    <x:row r="53" ht="27" customHeight="1">
      <x:c r="A53" s="200" t="str">
        <x:v>Defaults deliberately show a thin/negative deal after full costs. A 'MEETS YOUR TARGETS' result means only that your inputs pass your chosen thresholds; it is not independent validation or a recommendation.</x:v>
      </x:c>
      <x:c r="B53" s="200" t="str">
        <x:v>Defaults deliberately show a thin/negative deal after full costs. A 'MEETS YOUR TARGETS' result means only that your inputs pass your chosen thresholds; it is not independent validation or a recommendation.</x:v>
      </x:c>
      <x:c r="C53" s="200" t="str">
        <x:v>Defaults deliberately show a thin/negative deal after full costs. A 'MEETS YOUR TARGETS' result means only that your inputs pass your chosen thresholds; it is not independent validation or a recommendation.</x:v>
      </x:c>
      <x:c r="D53" s="200" t="str">
        <x:v>Defaults deliberately show a thin/negative deal after full costs. A 'MEETS YOUR TARGETS' result means only that your inputs pass your chosen thresholds; it is not independent validation or a recommendation.</x:v>
      </x:c>
      <x:c r="E53" s="200" t="str">
        <x:v>Defaults deliberately show a thin/negative deal after full costs. A 'MEETS YOUR TARGETS' result means only that your inputs pass your chosen thresholds; it is not independent validation or a recommendation.</x:v>
      </x:c>
      <x:c r="F53" s="200" t="str">
        <x:v>Defaults deliberately show a thin/negative deal after full costs. A 'MEETS YOUR TARGETS' result means only that your inputs pass your chosen thresholds; it is not independent validation or a recommendation.</x:v>
      </x:c>
      <x:c r="G53" s="200" t="str">
        <x:v>Defaults deliberately show a thin/negative deal after full costs. A 'MEETS YOUR TARGETS' result means only that your inputs pass your chosen thresholds; it is not independent validation or a recommendation.</x:v>
      </x:c>
    </x:row>
    <x:row r="54" ht="27" customHeight="1">
      <x:c r="A54" s="200"/>
      <x:c r="B54" s="200"/>
      <x:c r="C54" s="200"/>
      <x:c r="D54" s="200"/>
      <x:c r="E54" s="200"/>
      <x:c r="F54" s="200"/>
      <x:c r="G54" s="200"/>
    </x:row>
    <x:row r="55" ht="27" customHeight="1">
      <x:c r="A55" s="200"/>
      <x:c r="B55" s="200"/>
      <x:c r="C55" s="200"/>
      <x:c r="D55" s="200"/>
      <x:c r="E55" s="200"/>
      <x:c r="F55" s="200"/>
      <x:c r="G55" s="200"/>
    </x:row>
    <x:row r="56" ht="27" customHeight="1">
      <x:c r="A56" s="200"/>
      <x:c r="B56" s="200"/>
      <x:c r="C56" s="200"/>
      <x:c r="D56" s="200"/>
      <x:c r="E56" s="200"/>
      <x:c r="F56" s="200"/>
      <x:c r="G56" s="200"/>
    </x:row>
    <x:row r="57" ht="27" customHeight="1">
      <x:c r="A57" s="199" t="str">
        <x:v>BEFORE YOU SHARE OR RELY ON THE FILE</x:v>
      </x:c>
      <x:c r="B57" s="199" t="str">
        <x:v>BEFORE YOU SHARE OR RELY ON THE FILE</x:v>
      </x:c>
      <x:c r="C57" s="199" t="str">
        <x:v>BEFORE YOU SHARE OR RELY ON THE FILE</x:v>
      </x:c>
      <x:c r="D57" s="199" t="str">
        <x:v>BEFORE YOU SHARE OR RELY ON THE FILE</x:v>
      </x:c>
      <x:c r="E57" s="199" t="str">
        <x:v>BEFORE YOU SHARE OR RELY ON THE FILE</x:v>
      </x:c>
      <x:c r="F57" s="199" t="str">
        <x:v>BEFORE YOU SHARE OR RELY ON THE FILE</x:v>
      </x:c>
      <x:c r="G57" s="199" t="str">
        <x:v>BEFORE YOU SHARE OR RELY ON THE FILE</x:v>
      </x:c>
    </x:row>
    <x:row r="58" ht="27" customHeight="1">
      <x:c r="A58" s="200" t="str">
        <x:v>Save a separate copy per deal. Keep formulas intact; edit blue cells. Standard Excel formulas are used, with no macros and no external-workbook links. Recalculate after imports into other spreadsheet applications.</x:v>
      </x:c>
      <x:c r="B58" s="200" t="str">
        <x:v>Save a separate copy per deal. Keep formulas intact; edit blue cells. Standard Excel formulas are used, with no macros and no external-workbook links. Recalculate after imports into other spreadsheet applications.</x:v>
      </x:c>
      <x:c r="C58" s="200" t="str">
        <x:v>Save a separate copy per deal. Keep formulas intact; edit blue cells. Standard Excel formulas are used, with no macros and no external-workbook links. Recalculate after imports into other spreadsheet applications.</x:v>
      </x:c>
      <x:c r="D58" s="200" t="str">
        <x:v>Save a separate copy per deal. Keep formulas intact; edit blue cells. Standard Excel formulas are used, with no macros and no external-workbook links. Recalculate after imports into other spreadsheet applications.</x:v>
      </x:c>
      <x:c r="E58" s="200" t="str">
        <x:v>Save a separate copy per deal. Keep formulas intact; edit blue cells. Standard Excel formulas are used, with no macros and no external-workbook links. Recalculate after imports into other spreadsheet applications.</x:v>
      </x:c>
      <x:c r="F58" s="200" t="str">
        <x:v>Save a separate copy per deal. Keep formulas intact; edit blue cells. Standard Excel formulas are used, with no macros and no external-workbook links. Recalculate after imports into other spreadsheet applications.</x:v>
      </x:c>
      <x:c r="G58" s="200" t="str">
        <x:v>Save a separate copy per deal. Keep formulas intact; edit blue cells. Standard Excel formulas are used, with no macros and no external-workbook links. Recalculate after imports into other spreadsheet applications.</x:v>
      </x:c>
    </x:row>
    <x:row r="59" ht="27" customHeight="1">
      <x:c r="A59" s="200" t="str">
        <x:v>Save a separate copy per deal. Keep formulas intact; edit blue cells. Standard Excel formulas are used, with no macros and no external-workbook links. Recalculate after imports into other spreadsheet applications.</x:v>
      </x:c>
      <x:c r="B59" s="200" t="str">
        <x:v>Save a separate copy per deal. Keep formulas intact; edit blue cells. Standard Excel formulas are used, with no macros and no external-workbook links. Recalculate after imports into other spreadsheet applications.</x:v>
      </x:c>
      <x:c r="C59" s="200" t="str">
        <x:v>Save a separate copy per deal. Keep formulas intact; edit blue cells. Standard Excel formulas are used, with no macros and no external-workbook links. Recalculate after imports into other spreadsheet applications.</x:v>
      </x:c>
      <x:c r="D59" s="200" t="str">
        <x:v>Save a separate copy per deal. Keep formulas intact; edit blue cells. Standard Excel formulas are used, with no macros and no external-workbook links. Recalculate after imports into other spreadsheet applications.</x:v>
      </x:c>
      <x:c r="E59" s="200" t="str">
        <x:v>Save a separate copy per deal. Keep formulas intact; edit blue cells. Standard Excel formulas are used, with no macros and no external-workbook links. Recalculate after imports into other spreadsheet applications.</x:v>
      </x:c>
      <x:c r="F59" s="200" t="str">
        <x:v>Save a separate copy per deal. Keep formulas intact; edit blue cells. Standard Excel formulas are used, with no macros and no external-workbook links. Recalculate after imports into other spreadsheet applications.</x:v>
      </x:c>
      <x:c r="G59" s="200" t="str">
        <x:v>Save a separate copy per deal. Keep formulas intact; edit blue cells. Standard Excel formulas are used, with no macros and no external-workbook links. Recalculate after imports into other spreadsheet applications.</x:v>
      </x:c>
    </x:row>
    <x:row r="60" ht="27" customHeight="1">
      <x:c r="A60" s="200" t="str">
        <x:v>Use post-purchase tax estimates, written insurance quotes, actual channel/PMS fees and complete management contracts. Initial setup, ramp-up, owner labor, special assessments and major repairs can exceed your assumptions.</x:v>
      </x:c>
      <x:c r="B60" s="200" t="str">
        <x:v>Use post-purchase tax estimates, written insurance quotes, actual channel/PMS fees and complete management contracts. Initial setup, ramp-up, owner labor, special assessments and major repairs can exceed your assumptions.</x:v>
      </x:c>
      <x:c r="C60" s="200" t="str">
        <x:v>Use post-purchase tax estimates, written insurance quotes, actual channel/PMS fees and complete management contracts. Initial setup, ramp-up, owner labor, special assessments and major repairs can exceed your assumptions.</x:v>
      </x:c>
      <x:c r="D60" s="200" t="str">
        <x:v>Use post-purchase tax estimates, written insurance quotes, actual channel/PMS fees and complete management contracts. Initial setup, ramp-up, owner labor, special assessments and major repairs can exceed your assumptions.</x:v>
      </x:c>
      <x:c r="E60" s="200" t="str">
        <x:v>Use post-purchase tax estimates, written insurance quotes, actual channel/PMS fees and complete management contracts. Initial setup, ramp-up, owner labor, special assessments and major repairs can exceed your assumptions.</x:v>
      </x:c>
      <x:c r="F60" s="200" t="str">
        <x:v>Use post-purchase tax estimates, written insurance quotes, actual channel/PMS fees and complete management contracts. Initial setup, ramp-up, owner labor, special assessments and major repairs can exceed your assumptions.</x:v>
      </x:c>
      <x:c r="G60" s="200" t="str">
        <x:v>Use post-purchase tax estimates, written insurance quotes, actual channel/PMS fees and complete management contracts. Initial setup, ramp-up, owner labor, special assessments and major repairs can exceed your assumptions.</x:v>
      </x:c>
    </x:row>
    <x:row r="61" ht="27" customHeight="1">
      <x:c r="A61" s="200" t="str">
        <x:v>Use post-purchase tax estimates, written insurance quotes, actual channel/PMS fees and complete management contracts. Initial setup, ramp-up, owner labor, special assessments and major repairs can exceed your assumptions.</x:v>
      </x:c>
      <x:c r="B61" s="200" t="str">
        <x:v>Use post-purchase tax estimates, written insurance quotes, actual channel/PMS fees and complete management contracts. Initial setup, ramp-up, owner labor, special assessments and major repairs can exceed your assumptions.</x:v>
      </x:c>
      <x:c r="C61" s="200" t="str">
        <x:v>Use post-purchase tax estimates, written insurance quotes, actual channel/PMS fees and complete management contracts. Initial setup, ramp-up, owner labor, special assessments and major repairs can exceed your assumptions.</x:v>
      </x:c>
      <x:c r="D61" s="200" t="str">
        <x:v>Use post-purchase tax estimates, written insurance quotes, actual channel/PMS fees and complete management contracts. Initial setup, ramp-up, owner labor, special assessments and major repairs can exceed your assumptions.</x:v>
      </x:c>
      <x:c r="E61" s="200" t="str">
        <x:v>Use post-purchase tax estimates, written insurance quotes, actual channel/PMS fees and complete management contracts. Initial setup, ramp-up, owner labor, special assessments and major repairs can exceed your assumptions.</x:v>
      </x:c>
      <x:c r="F61" s="200" t="str">
        <x:v>Use post-purchase tax estimates, written insurance quotes, actual channel/PMS fees and complete management contracts. Initial setup, ramp-up, owner labor, special assessments and major repairs can exceed your assumptions.</x:v>
      </x:c>
      <x:c r="G61" s="200" t="str">
        <x:v>Use post-purchase tax estimates, written insurance quotes, actual channel/PMS fees and complete management contracts. Initial setup, ramp-up, owner labor, special assessments and major repairs can exceed your assumptions.</x:v>
      </x:c>
    </x:row>
    <x:row r="62" ht="27" customHeight="1">
      <x:c r="A62" s="200" t="str">
        <x:v>This is an educational estimate, not investment, legal, accounting, lending or tax advice. No income, appreciation, deduction, financing or investment outcome is guaranteed. Review local rules immediately before committing capital.</x:v>
      </x:c>
      <x:c r="B62" s="200" t="str">
        <x:v>This is an educational estimate, not investment, legal, accounting, lending or tax advice. No income, appreciation, deduction, financing or investment outcome is guaranteed. Review local rules immediately before committing capital.</x:v>
      </x:c>
      <x:c r="C62" s="200" t="str">
        <x:v>This is an educational estimate, not investment, legal, accounting, lending or tax advice. No income, appreciation, deduction, financing or investment outcome is guaranteed. Review local rules immediately before committing capital.</x:v>
      </x:c>
      <x:c r="D62" s="200" t="str">
        <x:v>This is an educational estimate, not investment, legal, accounting, lending or tax advice. No income, appreciation, deduction, financing or investment outcome is guaranteed. Review local rules immediately before committing capital.</x:v>
      </x:c>
      <x:c r="E62" s="200" t="str">
        <x:v>This is an educational estimate, not investment, legal, accounting, lending or tax advice. No income, appreciation, deduction, financing or investment outcome is guaranteed. Review local rules immediately before committing capital.</x:v>
      </x:c>
      <x:c r="F62" s="200" t="str">
        <x:v>This is an educational estimate, not investment, legal, accounting, lending or tax advice. No income, appreciation, deduction, financing or investment outcome is guaranteed. Review local rules immediately before committing capital.</x:v>
      </x:c>
      <x:c r="G62" s="200" t="str">
        <x:v>This is an educational estimate, not investment, legal, accounting, lending or tax advice. No income, appreciation, deduction, financing or investment outcome is guaranteed. Review local rules immediately before committing capital.</x:v>
      </x:c>
    </x:row>
    <x:row r="63" ht="27" customHeight="1">
      <x:c r="A63" s="200" t="str">
        <x:v>This is an educational estimate, not investment, legal, accounting, lending or tax advice. No income, appreciation, deduction, financing or investment outcome is guaranteed. Review local rules immediately before committing capital.</x:v>
      </x:c>
      <x:c r="B63" s="200" t="str">
        <x:v>This is an educational estimate, not investment, legal, accounting, lending or tax advice. No income, appreciation, deduction, financing or investment outcome is guaranteed. Review local rules immediately before committing capital.</x:v>
      </x:c>
      <x:c r="C63" s="200" t="str">
        <x:v>This is an educational estimate, not investment, legal, accounting, lending or tax advice. No income, appreciation, deduction, financing or investment outcome is guaranteed. Review local rules immediately before committing capital.</x:v>
      </x:c>
      <x:c r="D63" s="200" t="str">
        <x:v>This is an educational estimate, not investment, legal, accounting, lending or tax advice. No income, appreciation, deduction, financing or investment outcome is guaranteed. Review local rules immediately before committing capital.</x:v>
      </x:c>
      <x:c r="E63" s="200" t="str">
        <x:v>This is an educational estimate, not investment, legal, accounting, lending or tax advice. No income, appreciation, deduction, financing or investment outcome is guaranteed. Review local rules immediately before committing capital.</x:v>
      </x:c>
      <x:c r="F63" s="200" t="str">
        <x:v>This is an educational estimate, not investment, legal, accounting, lending or tax advice. No income, appreciation, deduction, financing or investment outcome is guaranteed. Review local rules immediately before committing capital.</x:v>
      </x:c>
      <x:c r="G63" s="200" t="str">
        <x:v>This is an educational estimate, not investment, legal, accounting, lending or tax advice. No income, appreciation, deduction, financing or investment outcome is guaranteed. Review local rules immediately before committing capital.</x:v>
      </x:c>
    </x:row>
    <x:row r="64" ht="27" customHeight="1">
      <x:c r="A64" s="200"/>
      <x:c r="B64" s="200"/>
      <x:c r="C64" s="200"/>
      <x:c r="D64" s="200"/>
      <x:c r="E64" s="200"/>
      <x:c r="F64" s="200"/>
      <x:c r="G64" s="200"/>
    </x:row>
    <x:row r="65" ht="27" customHeight="1">
      <x:c r="A65" s="200"/>
      <x:c r="B65" s="200"/>
      <x:c r="C65" s="200"/>
      <x:c r="D65" s="200"/>
      <x:c r="E65" s="200"/>
      <x:c r="F65" s="200"/>
      <x:c r="G65" s="200"/>
    </x:row>
    <x:row r="66" ht="27" customHeight="1">
      <x:c r="A66" s="200"/>
      <x:c r="B66" s="200"/>
      <x:c r="C66" s="200"/>
      <x:c r="D66" s="200"/>
      <x:c r="E66" s="200"/>
      <x:c r="F66" s="200"/>
      <x:c r="G66" s="200"/>
    </x:row>
    <x:row r="67" ht="27" customHeight="1">
      <x:c r="A67" s="200"/>
      <x:c r="B67" s="200"/>
      <x:c r="C67" s="200"/>
      <x:c r="D67" s="200"/>
      <x:c r="E67" s="200"/>
      <x:c r="F67" s="200"/>
      <x:c r="G67" s="200"/>
    </x:row>
    <x:row r="68" ht="27" customHeight="1">
      <x:c r="A68" s="200" t="str">
        <x:v>RESEARCH DATE VS. DATA DATE
The companion market file was researched on September 21, 2026. Every numeric benchmark retains its own provider and reporting date. Some public data is older or undated. A research date does not make every source current.</x:v>
      </x:c>
      <x:c r="B68" s="200" t="str">
        <x:v>RESEARCH DATE VS. DATA DATE
The companion market file was researched on September 21, 2026. Every numeric benchmark retains its own provider and reporting date. Some public data is older or undated. A research date does not make every source current.</x:v>
      </x:c>
      <x:c r="C68" s="200" t="str">
        <x:v>RESEARCH DATE VS. DATA DATE
The companion market file was researched on September 21, 2026. Every numeric benchmark retains its own provider and reporting date. Some public data is older or undated. A research date does not make every source current.</x:v>
      </x:c>
      <x:c r="D68" s="200" t="str">
        <x:v>RESEARCH DATE VS. DATA DATE
The companion market file was researched on September 21, 2026. Every numeric benchmark retains its own provider and reporting date. Some public data is older or undated. A research date does not make every source current.</x:v>
      </x:c>
      <x:c r="E68" s="200" t="str">
        <x:v>RESEARCH DATE VS. DATA DATE
The companion market file was researched on September 21, 2026. Every numeric benchmark retains its own provider and reporting date. Some public data is older or undated. A research date does not make every source current.</x:v>
      </x:c>
      <x:c r="F68" s="200" t="str">
        <x:v>RESEARCH DATE VS. DATA DATE
The companion market file was researched on September 21, 2026. Every numeric benchmark retains its own provider and reporting date. Some public data is older or undated. A research date does not make every source current.</x:v>
      </x:c>
      <x:c r="G68" s="200" t="str">
        <x:v>RESEARCH DATE VS. DATA DATE
The companion market file was researched on September 21, 2026. Every numeric benchmark retains its own provider and reporting date. Some public data is older or undated. A research date does not make every source current.</x:v>
      </x:c>
    </x:row>
    <x:row r="69" ht="27" customHeight="1">
      <x:c r="A69" s="200" t="str">
        <x:v>RESEARCH DATE VS. DATA DATE
The companion market file was researched on September 21, 2026. Every numeric benchmark retains its own provider and reporting date. Some public data is older or undated. A research date does not make every source current.</x:v>
      </x:c>
      <x:c r="B69" s="200" t="str">
        <x:v>RESEARCH DATE VS. DATA DATE
The companion market file was researched on September 21, 2026. Every numeric benchmark retains its own provider and reporting date. Some public data is older or undated. A research date does not make every source current.</x:v>
      </x:c>
      <x:c r="C69" s="200" t="str">
        <x:v>RESEARCH DATE VS. DATA DATE
The companion market file was researched on September 21, 2026. Every numeric benchmark retains its own provider and reporting date. Some public data is older or undated. A research date does not make every source current.</x:v>
      </x:c>
      <x:c r="D69" s="200" t="str">
        <x:v>RESEARCH DATE VS. DATA DATE
The companion market file was researched on September 21, 2026. Every numeric benchmark retains its own provider and reporting date. Some public data is older or undated. A research date does not make every source current.</x:v>
      </x:c>
      <x:c r="E69" s="200" t="str">
        <x:v>RESEARCH DATE VS. DATA DATE
The companion market file was researched on September 21, 2026. Every numeric benchmark retains its own provider and reporting date. Some public data is older or undated. A research date does not make every source current.</x:v>
      </x:c>
      <x:c r="F69" s="200" t="str">
        <x:v>RESEARCH DATE VS. DATA DATE
The companion market file was researched on September 21, 2026. Every numeric benchmark retains its own provider and reporting date. Some public data is older or undated. A research date does not make every source current.</x:v>
      </x:c>
      <x:c r="G69" s="200" t="str">
        <x:v>RESEARCH DATE VS. DATA DATE
The companion market file was researched on September 21, 2026. Every numeric benchmark retains its own provider and reporting date. Some public data is older or undated. A research date does not make every source current.</x:v>
      </x:c>
    </x:row>
    <x:row r="70" ht="27" customHeight="1">
      <x:c r="A70" s="200" t="str">
        <x:v>RESEARCH DATE VS. DATA DATE
The companion market file was researched on September 21, 2026. Every numeric benchmark retains its own provider and reporting date. Some public data is older or undated. A research date does not make every source current.</x:v>
      </x:c>
      <x:c r="B70" s="200" t="str">
        <x:v>RESEARCH DATE VS. DATA DATE
The companion market file was researched on September 21, 2026. Every numeric benchmark retains its own provider and reporting date. Some public data is older or undated. A research date does not make every source current.</x:v>
      </x:c>
      <x:c r="C70" s="200" t="str">
        <x:v>RESEARCH DATE VS. DATA DATE
The companion market file was researched on September 21, 2026. Every numeric benchmark retains its own provider and reporting date. Some public data is older or undated. A research date does not make every source current.</x:v>
      </x:c>
      <x:c r="D70" s="200" t="str">
        <x:v>RESEARCH DATE VS. DATA DATE
The companion market file was researched on September 21, 2026. Every numeric benchmark retains its own provider and reporting date. Some public data is older or undated. A research date does not make every source current.</x:v>
      </x:c>
      <x:c r="E70" s="200" t="str">
        <x:v>RESEARCH DATE VS. DATA DATE
The companion market file was researched on September 21, 2026. Every numeric benchmark retains its own provider and reporting date. Some public data is older or undated. A research date does not make every source current.</x:v>
      </x:c>
      <x:c r="F70" s="200" t="str">
        <x:v>RESEARCH DATE VS. DATA DATE
The companion market file was researched on September 21, 2026. Every numeric benchmark retains its own provider and reporting date. Some public data is older or undated. A research date does not make every source current.</x:v>
      </x:c>
      <x:c r="G70" s="200" t="str">
        <x:v>RESEARCH DATE VS. DATA DATE
The companion market file was researched on September 21, 2026. Every numeric benchmark retains its own provider and reporting date. Some public data is older or undated. A research date does not make every source current.</x:v>
      </x:c>
    </x:row>
    <x:row r="71" ht="27" customHeight="1">
      <x:c r="A71" s="6"/>
      <x:c r="B71" s="6"/>
      <x:c r="C71" s="6"/>
      <x:c r="D71" s="6"/>
      <x:c r="E71" s="6"/>
      <x:c r="F71" s="6"/>
      <x:c r="G71" s="6"/>
    </x:row>
    <x:row r="72" ht="27" customHeight="1">
      <x:c r="A72" s="6"/>
      <x:c r="B72" s="6"/>
      <x:c r="C72" s="6"/>
      <x:c r="D72" s="6"/>
      <x:c r="E72" s="6"/>
      <x:c r="F72" s="6"/>
      <x:c r="G72" s="6"/>
    </x:row>
    <x:row r="73" ht="27" customHeight="1">
      <x:c r="A73" s="6"/>
      <x:c r="B73" s="6"/>
      <x:c r="C73" s="6"/>
      <x:c r="D73" s="6"/>
      <x:c r="E73" s="6"/>
      <x:c r="F73" s="6"/>
      <x:c r="G73" s="6"/>
    </x:row>
    <x:row r="74" ht="27" customHeight="1">
      <x:c r="A74" s="6"/>
      <x:c r="B74" s="6"/>
      <x:c r="C74" s="6"/>
      <x:c r="D74" s="6"/>
      <x:c r="E74" s="6"/>
      <x:c r="F74" s="6"/>
      <x:c r="G74" s="6"/>
    </x:row>
    <x:row r="75" ht="27" customHeight="1">
      <x:c r="A75" s="6"/>
      <x:c r="B75" s="6"/>
      <x:c r="C75" s="6"/>
      <x:c r="D75" s="6"/>
      <x:c r="E75" s="6"/>
      <x:c r="F75" s="6"/>
      <x:c r="G75" s="6"/>
    </x:row>
    <x:row r="76" ht="27" customHeight="1">
      <x:c r="A76" s="6"/>
      <x:c r="B76" s="6"/>
      <x:c r="C76" s="6"/>
      <x:c r="D76" s="6"/>
      <x:c r="E76" s="6"/>
      <x:c r="F76" s="6"/>
      <x:c r="G76" s="6"/>
    </x:row>
    <x:row r="77" ht="27" customHeight="1">
      <x:c r="A77" s="6"/>
      <x:c r="B77" s="6"/>
      <x:c r="C77" s="6"/>
      <x:c r="D77" s="6"/>
      <x:c r="E77" s="6"/>
      <x:c r="F77" s="6"/>
      <x:c r="G77" s="6"/>
    </x:row>
    <x:row r="78" ht="27" customHeight="1">
      <x:c r="A78" s="6"/>
      <x:c r="B78" s="6"/>
      <x:c r="C78" s="6"/>
      <x:c r="D78" s="6"/>
      <x:c r="E78" s="6"/>
      <x:c r="F78" s="6"/>
      <x:c r="G78" s="6"/>
    </x:row>
    <x:row r="79" ht="27" customHeight="1">
      <x:c r="A79" s="6"/>
      <x:c r="B79" s="6"/>
      <x:c r="C79" s="6"/>
      <x:c r="D79" s="6"/>
      <x:c r="E79" s="6"/>
      <x:c r="F79" s="6"/>
      <x:c r="G79" s="6"/>
    </x:row>
    <x:row r="80" ht="27" customHeight="1">
      <x:c r="A80" s="6"/>
      <x:c r="B80" s="6"/>
      <x:c r="C80" s="6"/>
      <x:c r="D80" s="6"/>
      <x:c r="E80" s="6"/>
      <x:c r="F80" s="6"/>
      <x:c r="G80" s="6"/>
    </x:row>
  </x:sheetData>
  <x:mergeCells>
    <x:mergeCell ref="A1:G2"/>
    <x:mergeCell ref="A3:G4"/>
    <x:mergeCell ref="A6:C8"/>
    <x:mergeCell ref="E6:G8"/>
    <x:mergeCell ref="A11:G11"/>
    <x:mergeCell ref="A12:G13"/>
    <x:mergeCell ref="A14:G15"/>
    <x:mergeCell ref="A16:G17"/>
    <x:mergeCell ref="A18:G19"/>
    <x:mergeCell ref="A20:G21"/>
    <x:mergeCell ref="A25:G25"/>
    <x:mergeCell ref="A26:G27"/>
    <x:mergeCell ref="A28:G29"/>
    <x:mergeCell ref="A30:G31"/>
    <x:mergeCell ref="A32:G33"/>
    <x:mergeCell ref="A34:G35"/>
    <x:mergeCell ref="A36:G37"/>
    <x:mergeCell ref="A38:G39"/>
    <x:mergeCell ref="A43:G43"/>
    <x:mergeCell ref="A44:G45"/>
    <x:mergeCell ref="A46:G47"/>
    <x:mergeCell ref="A48:G49"/>
    <x:mergeCell ref="A50:G51"/>
    <x:mergeCell ref="A52:G53"/>
    <x:mergeCell ref="A57:G57"/>
    <x:mergeCell ref="A58:G59"/>
    <x:mergeCell ref="A60:G61"/>
    <x:mergeCell ref="A62:G63"/>
    <x:mergeCell ref="A68:G7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9" hidden="0" customWidth="1"/>
    <x:col min="2" max="2" width="17" hidden="0" customWidth="1"/>
    <x:col min="3" max="3" width="46" hidden="0" customWidth="1"/>
    <x:col min="4" max="4" width="3" hidden="0" customWidth="1"/>
    <x:col min="5" max="5" width="29" hidden="0" customWidth="1"/>
    <x:col min="6" max="6" width="17" hidden="0" customWidth="1"/>
    <x:col min="7" max="7" width="42" hidden="0" customWidth="1"/>
  </x:cols>
  <x:sheetData>
    <x:row r="1" ht="28" customHeight="1">
      <x:c r="A1" s="202" t="str">
        <x:v>RENTAL ARBITRAGE | Deal analysis</x:v>
      </x:c>
      <x:c r="B1" s="202" t="str">
        <x:v>RENTAL ARBITRAGE | Deal analysis</x:v>
      </x:c>
      <x:c r="C1" s="202" t="str">
        <x:v>RENTAL ARBITRAGE | Deal analysis</x:v>
      </x:c>
      <x:c r="D1" s="202" t="str">
        <x:v>RENTAL ARBITRAGE | Deal analysis</x:v>
      </x:c>
      <x:c r="E1" s="202" t="str">
        <x:v>RENTAL ARBITRAGE | Deal analysis</x:v>
      </x:c>
      <x:c r="F1" s="202" t="str">
        <x:v>RENTAL ARBITRAGE | Deal analysis</x:v>
      </x:c>
      <x:c r="G1" s="202" t="str">
        <x:v>RENTAL ARBITRAGE | Deal analysis</x:v>
      </x:c>
    </x:row>
    <x:row r="2" ht="24" customHeight="1">
      <x:c r="A2" s="202" t="str">
        <x:v>RENTAL ARBITRAGE | Deal analysis</x:v>
      </x:c>
      <x:c r="B2" s="202" t="str">
        <x:v>RENTAL ARBITRAGE | Deal analysis</x:v>
      </x:c>
      <x:c r="C2" s="202" t="str">
        <x:v>RENTAL ARBITRAGE | Deal analysis</x:v>
      </x:c>
      <x:c r="D2" s="202" t="str">
        <x:v>RENTAL ARBITRAGE | Deal analysis</x:v>
      </x:c>
      <x:c r="E2" s="202" t="str">
        <x:v>RENTAL ARBITRAGE | Deal analysis</x:v>
      </x:c>
      <x:c r="F2" s="202" t="str">
        <x:v>RENTAL ARBITRAGE | Deal analysis</x:v>
      </x:c>
      <x:c r="G2" s="202" t="str">
        <x:v>RENTAL ARBITRAGE | Deal analysis</x:v>
      </x:c>
    </x:row>
    <x:row r="3" ht="27" customHeight="1">
      <x:c r="A3" s="203" t="str">
        <x:v>USD • Stabilized 12-month operating model • Blue cells are editable. Examples are not quotes or income promises. Start with permission checks.</x:v>
      </x:c>
      <x:c r="B3" s="203" t="str">
        <x:v>USD • Stabilized 12-month operating model • Blue cells are editable. Examples are not quotes or income promises. Start with permission checks.</x:v>
      </x:c>
      <x:c r="C3" s="203" t="str">
        <x:v>USD • Stabilized 12-month operating model • Blue cells are editable. Examples are not quotes or income promises. Start with permission checks.</x:v>
      </x:c>
      <x:c r="D3" s="203" t="str">
        <x:v>USD • Stabilized 12-month operating model • Blue cells are editable. Examples are not quotes or income promises. Start with permission checks.</x:v>
      </x:c>
      <x:c r="E3" s="203" t="str">
        <x:v>USD • Stabilized 12-month operating model • Blue cells are editable. Examples are not quotes or income promises. Start with permission checks.</x:v>
      </x:c>
      <x:c r="F3" s="203" t="str">
        <x:v>USD • Stabilized 12-month operating model • Blue cells are editable. Examples are not quotes or income promises. Start with permission checks.</x:v>
      </x:c>
      <x:c r="G3" s="203" t="str">
        <x:v>USD • Stabilized 12-month operating model • Blue cells are editable. Examples are not quotes or income promises. Start with permission checks.</x:v>
      </x:c>
    </x:row>
    <x:row r="4" ht="27" customHeight="1">
      <x:c r="A4" s="203" t="str">
        <x:v>USD • Stabilized 12-month operating model • Blue cells are editable. Examples are not quotes or income promises. Start with permission checks.</x:v>
      </x:c>
      <x:c r="B4" s="203" t="str">
        <x:v>USD • Stabilized 12-month operating model • Blue cells are editable. Examples are not quotes or income promises. Start with permission checks.</x:v>
      </x:c>
      <x:c r="C4" s="203" t="str">
        <x:v>USD • Stabilized 12-month operating model • Blue cells are editable. Examples are not quotes or income promises. Start with permission checks.</x:v>
      </x:c>
      <x:c r="D4" s="203" t="str">
        <x:v>USD • Stabilized 12-month operating model • Blue cells are editable. Examples are not quotes or income promises. Start with permission checks.</x:v>
      </x:c>
      <x:c r="E4" s="203" t="str">
        <x:v>USD • Stabilized 12-month operating model • Blue cells are editable. Examples are not quotes or income promises. Start with permission checks.</x:v>
      </x:c>
      <x:c r="F4" s="203" t="str">
        <x:v>USD • Stabilized 12-month operating model • Blue cells are editable. Examples are not quotes or income promises. Start with permission checks.</x:v>
      </x:c>
      <x:c r="G4" s="203" t="str">
        <x:v>USD • Stabilized 12-month operating model • Blue cells are editable. Examples are not quotes or income promises. Start with permission checks.</x:v>
      </x:c>
    </x:row>
    <x:row r="5" ht="27" customHeight="1">
      <x:c r="A5" s="200"/>
      <x:c r="B5" s="200"/>
      <x:c r="C5" s="200"/>
      <x:c r="D5" s="200"/>
      <x:c r="E5" s="200"/>
      <x:c r="F5" s="200"/>
      <x:c r="G5" s="200"/>
    </x:row>
    <x:row r="6" ht="27" customHeight="1">
      <x:c r="A6" s="296" t="str">
        <x:v>Monthly gross revenue</x:v>
      </x:c>
      <x:c r="B6" s="297" t="n">
        <x:f>F21/12</x:f>
        <x:v>5362.500000000001</x:v>
      </x:c>
      <x:c r="C6" s="298"/>
      <x:c r="D6" s="298"/>
      <x:c r="E6" s="299" t="str">
        <x:v>Cash-on-cash</x:v>
      </x:c>
      <x:c r="F6" s="300" t="n">
        <x:f>F37</x:f>
        <x:v>-0.10073363431151218</x:v>
      </x:c>
      <x:c r="G6" s="298"/>
    </x:row>
    <x:row r="7" ht="27" customHeight="1">
      <x:c r="A7" s="296" t="str">
        <x:v>MONTHLY CASH FLOW</x:v>
      </x:c>
      <x:c r="B7" s="297" t="n">
        <x:f>F33</x:f>
        <x:v>-260.3124999999994</x:v>
      </x:c>
      <x:c r="C7" s="298"/>
      <x:c r="D7" s="298"/>
      <x:c r="E7" s="299" t="str">
        <x:v>Break-even occupancy</x:v>
      </x:c>
      <x:c r="F7" s="300" t="n">
        <x:f>F47</x:f>
        <x:v>0.5983739837398373</x:v>
      </x:c>
      <x:c r="G7" s="298"/>
    </x:row>
    <x:row r="8" ht="27" customHeight="1">
      <x:c r="A8" s="296" t="str">
        <x:v>STARTUP CAPITAL</x:v>
      </x:c>
      <x:c r="B8" s="297" t="n">
        <x:f>F34</x:f>
        <x:v>31010</x:v>
      </x:c>
      <x:c r="C8" s="298"/>
      <x:c r="D8" s="298"/>
      <x:c r="E8" s="299" t="str">
        <x:v>Permission gate</x:v>
      </x:c>
      <x:c r="F8" s="301" t="str">
        <x:f>F52</x:f>
        <x:v>HOLD</x:v>
      </x:c>
      <x:c r="G8" s="298"/>
    </x:row>
    <x:row r="9" ht="27" customHeight="1">
      <x:c r="A9" s="200"/>
      <x:c r="B9" s="200"/>
      <x:c r="C9" s="200"/>
      <x:c r="D9" s="200"/>
      <x:c r="E9" s="200"/>
      <x:c r="F9" s="290"/>
      <x:c r="G9" s="200"/>
    </x:row>
    <x:row r="10" ht="32" customHeight="1">
      <x:c r="A10" s="303" t="str">
        <x:v>MODEL CHECK: legal permission is a hard gate. Monthly averages hide low-season shortfalls. N/M means not meaningful or not feasible under the inputs.</x:v>
      </x:c>
      <x:c r="B10" s="303" t="str">
        <x:v>MODEL CHECK: legal permission is a hard gate. Monthly averages hide low-season shortfalls. N/M means not meaningful or not feasible under the inputs.</x:v>
      </x:c>
      <x:c r="C10" s="303" t="str">
        <x:v>MODEL CHECK: legal permission is a hard gate. Monthly averages hide low-season shortfalls. N/M means not meaningful or not feasible under the inputs.</x:v>
      </x:c>
      <x:c r="D10" s="303" t="str">
        <x:v>MODEL CHECK: legal permission is a hard gate. Monthly averages hide low-season shortfalls. N/M means not meaningful or not feasible under the inputs.</x:v>
      </x:c>
      <x:c r="E10" s="303" t="str">
        <x:v>MODEL CHECK: legal permission is a hard gate. Monthly averages hide low-season shortfalls. N/M means not meaningful or not feasible under the inputs.</x:v>
      </x:c>
      <x:c r="F10" s="304" t="str">
        <x:v>MODEL CHECK: legal permission is a hard gate. Monthly averages hide low-season shortfalls. N/M means not meaningful or not feasible under the inputs.</x:v>
      </x:c>
      <x:c r="G10" s="303" t="str">
        <x:v>MODEL CHECK: legal permission is a hard gate. Monthly averages hide low-season shortfalls. N/M means not meaningful or not feasible under the inputs.</x:v>
      </x:c>
    </x:row>
    <x:row r="11" ht="27" customHeight="1">
      <x:c r="A11" s="200"/>
      <x:c r="B11" s="200"/>
      <x:c r="C11" s="200"/>
      <x:c r="D11" s="200"/>
      <x:c r="E11" s="200"/>
      <x:c r="F11" s="290"/>
      <x:c r="G11" s="200"/>
    </x:row>
    <x:row r="12" ht="25" customHeight="1">
      <x:c r="A12" s="305" t="str">
        <x:v>01 / PROPERTY + REVENUE</x:v>
      </x:c>
      <x:c r="B12" s="305" t="str">
        <x:v>01 / PROPERTY + REVENUE</x:v>
      </x:c>
      <x:c r="C12" s="305" t="str">
        <x:v>01 / PROPERTY + REVENUE</x:v>
      </x:c>
      <x:c r="D12" s="200"/>
      <x:c r="E12" s="305" t="str">
        <x:v>ANNUAL RESULTS / automatic</x:v>
      </x:c>
      <x:c r="F12" s="305" t="str">
        <x:v>ANNUAL RESULTS / automatic</x:v>
      </x:c>
      <x:c r="G12" s="305" t="str">
        <x:v>ANNUAL RESULTS / automatic</x:v>
      </x:c>
    </x:row>
    <x:row r="13" ht="28" customHeight="1">
      <x:c r="A13" s="200" t="str">
        <x:v>Property / deal name</x:v>
      </x:c>
      <x:c r="B13" s="272" t="str">
        <x:v>Example deal - replace</x:v>
      </x:c>
      <x:c r="C13" s="200" t="str">
        <x:v>Save a separate workbook copy for each property.</x:v>
      </x:c>
      <x:c r="D13" s="200"/>
      <x:c r="E13" s="200" t="str">
        <x:v>Effective occupancy</x:v>
      </x:c>
      <x:c r="F13" s="288" t="n">
        <x:f>IF(F15&gt;0,F16/F15,0)</x:f>
        <x:v>0.55</x:v>
      </x:c>
      <x:c r="G13" s="200" t="str">
        <x:v>Weighted across available nights.</x:v>
      </x:c>
    </x:row>
    <x:row r="14" ht="28" customHeight="1">
      <x:c r="A14" s="200" t="str">
        <x:v>STR legality + permit path</x:v>
      </x:c>
      <x:c r="B14" s="272" t="str">
        <x:v>Unconfirmed</x:v>
      </x:c>
      <x:c r="C14" s="200" t="str">
        <x:v>Confirm this parcel, operating model, permit availability and transfer rules.</x:v>
      </x:c>
      <x:c r="D14" s="200"/>
      <x:c r="E14" s="200" t="str">
        <x:v>Effective booked ADR</x:v>
      </x:c>
      <x:c r="F14" s="291" t="n">
        <x:f>IF(F16&gt;0,F18/F16,B20)</x:f>
        <x:v>275.00000000000006</x:v>
      </x:c>
      <x:c r="G14" s="200" t="str">
        <x:v>Room revenue / booked nights; base ADR if no bookings.</x:v>
      </x:c>
    </x:row>
    <x:row r="15" ht="28" customHeight="1">
      <x:c r="A15" s="200" t="str">
        <x:v>Landlord permission</x:v>
      </x:c>
      <x:c r="B15" s="272" t="str">
        <x:v>Unconfirmed</x:v>
      </x:c>
      <x:c r="C15" s="200" t="str">
        <x:v>Written lease permission for STRs.</x:v>
      </x:c>
      <x:c r="D15" s="200"/>
      <x:c r="E15" s="200" t="str">
        <x:v>Available nights</x:v>
      </x:c>
      <x:c r="F15" s="292" t="n">
        <x:f>'Seasonality'!F26</x:f>
        <x:v>360</x:v>
      </x:c>
      <x:c r="G15" s="200" t="str">
        <x:v>From the selected flat/monthly mode.</x:v>
      </x:c>
    </x:row>
    <x:row r="16" ht="28" customHeight="1">
      <x:c r="A16" s="200" t="str">
        <x:v>HOA / building approval</x:v>
      </x:c>
      <x:c r="B16" s="272" t="str">
        <x:v>Unconfirmed</x:v>
      </x:c>
      <x:c r="C16" s="200" t="str">
        <x:v>Yes means reviewed and allowed, including where no HOA exists.</x:v>
      </x:c>
      <x:c r="D16" s="200"/>
      <x:c r="E16" s="200" t="str">
        <x:v>Occupied nights</x:v>
      </x:c>
      <x:c r="F16" s="292" t="n">
        <x:f>'Seasonality'!G26</x:f>
        <x:v>198</x:v>
      </x:c>
      <x:c r="G16" s="200" t="str">
        <x:v>Expected occupied nights, not calendar nights.</x:v>
      </x:c>
    </x:row>
    <x:row r="17" ht="28" customHeight="1">
      <x:c r="A17" s="200" t="str">
        <x:v>Lease term (months)</x:v>
      </x:c>
      <x:c r="B17" s="273" t="n">
        <x:v>24</x:v>
      </x:c>
      <x:c r="C17" s="200" t="str">
        <x:v>Compare payback to the enforceable remaining lease term.</x:v>
      </x:c>
      <x:c r="D17" s="200"/>
      <x:c r="E17" s="200" t="str">
        <x:v>Expected stays</x:v>
      </x:c>
      <x:c r="F17" s="292" t="n">
        <x:f>IF(B23&gt;0,F16/B23,0)</x:f>
        <x:v>66</x:v>
      </x:c>
      <x:c r="G17" s="200" t="str">
        <x:v>Fractional stays are expected-value estimates.</x:v>
      </x:c>
    </x:row>
    <x:row r="18" ht="28" customHeight="1">
      <x:c r="A18" s="200" t="str">
        <x:v>Monthly rent</x:v>
      </x:c>
      <x:c r="B18" s="274" t="n">
        <x:v>2200</x:v>
      </x:c>
      <x:c r="C18" s="200" t="str">
        <x:v>Ongoing rent. Prepaid rent below is initial cash funding, not a second expense.</x:v>
      </x:c>
      <x:c r="D18" s="200"/>
      <x:c r="E18" s="200" t="str">
        <x:v>Room revenue</x:v>
      </x:c>
      <x:c r="F18" s="291" t="n">
        <x:f>'Seasonality'!H26</x:f>
        <x:v>54450.00000000001</x:v>
      </x:c>
      <x:c r="G18" s="200" t="str">
        <x:v>Excludes guest fees and pass-through taxes.</x:v>
      </x:c>
    </x:row>
    <x:row r="19" ht="28" customHeight="1">
      <x:c r="A19" s="200" t="str">
        <x:v>Revenue input mode</x:v>
      </x:c>
      <x:c r="B19" s="272" t="str">
        <x:v>Flat</x:v>
      </x:c>
      <x:c r="C19" s="200" t="str">
        <x:v>Monthly mode uses the editable monthly assumptions on Seasonality.</x:v>
      </x:c>
      <x:c r="D19" s="200"/>
      <x:c r="E19" s="200" t="str">
        <x:v>Cleaning fee revenue</x:v>
      </x:c>
      <x:c r="F19" s="291" t="n">
        <x:f>F17*B24</x:f>
        <x:v>9900</x:v>
      </x:c>
      <x:c r="G19" s="200" t="str">
        <x:v>Guest fee collection is not all profit.</x:v>
      </x:c>
    </x:row>
    <x:row r="20" ht="28" customHeight="1">
      <x:c r="A20" s="200" t="str">
        <x:v>Average daily rate</x:v>
      </x:c>
      <x:c r="B20" s="274" t="n">
        <x:v>275</x:v>
      </x:c>
      <x:c r="C20" s="200" t="str">
        <x:v>Booked room rate only. Exclude cleaning fees and lodging taxes.</x:v>
      </x:c>
      <x:c r="D20" s="200"/>
      <x:c r="E20" s="200" t="str">
        <x:v>Other guest fee revenue</x:v>
      </x:c>
      <x:c r="F20" s="291" t="n">
        <x:f>F17*B25</x:f>
        <x:v>0</x:v>
      </x:c>
      <x:c r="G20" s="200" t="str">
        <x:v>Per-stay fees only.</x:v>
      </x:c>
    </x:row>
    <x:row r="21" ht="28" customHeight="1">
      <x:c r="A21" s="200" t="str">
        <x:v>Occupancy</x:v>
      </x:c>
      <x:c r="B21" s="275" t="n">
        <x:v>0.55</x:v>
      </x:c>
      <x:c r="C21" s="200" t="str">
        <x:v>Booked nights / available nights. Not booked nights / all calendar days.</x:v>
      </x:c>
      <x:c r="D21" s="200"/>
      <x:c r="E21" s="200" t="str">
        <x:v>GROSS BOOKING REVENUE</x:v>
      </x:c>
      <x:c r="F21" s="291" t="n">
        <x:f>SUM(F18:F20)</x:f>
        <x:v>64350.00000000001</x:v>
      </x:c>
      <x:c r="G21" s="200" t="str">
        <x:v>Annual revenue before host expenses.</x:v>
      </x:c>
    </x:row>
    <x:row r="22" ht="28" customHeight="1">
      <x:c r="A22" s="200" t="str">
        <x:v>Annual rentable nights</x:v>
      </x:c>
      <x:c r="B22" s="273" t="n">
        <x:v>360</x:v>
      </x:c>
      <x:c r="C22" s="200" t="str">
        <x:v>Exclude personal use, maintenance and unavailable nights.</x:v>
      </x:c>
      <x:c r="D22" s="200"/>
      <x:c r="E22" s="200" t="str">
        <x:v>Platform fee expense</x:v>
      </x:c>
      <x:c r="F22" s="291" t="n">
        <x:f>F21*B26</x:f>
        <x:v>9974.250000000002</x:v>
      </x:c>
      <x:c r="G22" s="200" t="str">
        <x:v>Applied to room, cleaning and other guest fees.</x:v>
      </x:c>
    </x:row>
    <x:row r="23" ht="28" customHeight="1">
      <x:c r="A23" s="200" t="str">
        <x:v>Average stay (nights)</x:v>
      </x:c>
      <x:c r="B23" s="276" t="n">
        <x:v>3</x:v>
      </x:c>
      <x:c r="C23" s="200" t="str">
        <x:v>Expected stays = occupied nights / average stay; fractional stays are estimates.</x:v>
      </x:c>
      <x:c r="D23" s="200"/>
      <x:c r="E23" s="200" t="str">
        <x:v>Revenue after platform fees</x:v>
      </x:c>
      <x:c r="F23" s="291" t="n">
        <x:f>F21-F22</x:f>
        <x:v>54375.75000000001</x:v>
      </x:c>
      <x:c r="G23" s="200" t="str">
        <x:v>Not cash flow: operating costs still apply.</x:v>
      </x:c>
    </x:row>
    <x:row r="24" ht="28" customHeight="1">
      <x:c r="A24" s="200" t="str">
        <x:v>Cleaning fee per stay</x:v>
      </x:c>
      <x:c r="B24" s="274" t="n">
        <x:v>150</x:v>
      </x:c>
      <x:c r="C24" s="200" t="str">
        <x:v>Revenue charged to the guest; cleaning expense is entered separately.</x:v>
      </x:c>
      <x:c r="D24" s="200"/>
      <x:c r="E24" s="200" t="str">
        <x:v>Management expense</x:v>
      </x:c>
      <x:c r="F24" s="291" t="n">
        <x:f>IF(B28="Gross booking",F21,F18)*B27</x:f>
        <x:v>5445.000000000001</x:v>
      </x:c>
      <x:c r="G24" s="200" t="str">
        <x:v>Fee basis follows your selection.</x:v>
      </x:c>
    </x:row>
    <x:row r="25" ht="28" customHeight="1">
      <x:c r="A25" s="200" t="str">
        <x:v>Other guest revenue / stay</x:v>
      </x:c>
      <x:c r="B25" s="274" t="n">
        <x:v>0</x:v>
      </x:c>
      <x:c r="C25" s="200" t="str">
        <x:v>Pet / extra-person / other host fees; exclude taxes and guest service fees.</x:v>
      </x:c>
      <x:c r="D25" s="200"/>
      <x:c r="E25" s="200" t="str">
        <x:v>Cleaning expense</x:v>
      </x:c>
      <x:c r="F25" s="291" t="n">
        <x:f>F17*B59</x:f>
        <x:v>9900</x:v>
      </x:c>
      <x:c r="G25" s="200" t="str">
        <x:v>Per-stay cleaning and laundry.</x:v>
      </x:c>
    </x:row>
    <x:row r="26" ht="28" customHeight="1">
      <x:c r="A26" s="200" t="str">
        <x:v>Platform fee</x:v>
      </x:c>
      <x:c r="B26" s="275" t="n">
        <x:v>0.155</x:v>
      </x:c>
      <x:c r="C26" s="200" t="str">
        <x:v>15.5% example single fee. Confirm your actual channel/PMS fee structure.</x:v>
      </x:c>
      <x:c r="D26" s="200"/>
      <x:c r="E26" s="200" t="str">
        <x:v>Consumables expense</x:v>
      </x:c>
      <x:c r="F26" s="291" t="n">
        <x:f>F16*B60</x:f>
        <x:v>792</x:v>
      </x:c>
      <x:c r="G26" s="200" t="str">
        <x:v>Per-occupied-night usage.</x:v>
      </x:c>
    </x:row>
    <x:row r="27" ht="28" customHeight="1">
      <x:c r="A27" s="200" t="str">
        <x:v>Management fee</x:v>
      </x:c>
      <x:c r="B27" s="275" t="n">
        <x:v>0.1</x:v>
      </x:c>
      <x:c r="C27" s="200" t="str">
        <x:v>Set a market replacement cost even when you plan to self-manage.</x:v>
      </x:c>
      <x:c r="D27" s="200"/>
      <x:c r="E27" s="200" t="str">
        <x:v>Variable repair allowance</x:v>
      </x:c>
      <x:c r="F27" s="291" t="n">
        <x:f>F18*B61</x:f>
        <x:v>1633.5000000000002</x:v>
      </x:c>
      <x:c r="G27" s="200" t="str">
        <x:v>Additional to fixed monthly maintenance.</x:v>
      </x:c>
    </x:row>
    <x:row r="28" ht="28" customHeight="1">
      <x:c r="A28" s="200" t="str">
        <x:v>Management fee basis</x:v>
      </x:c>
      <x:c r="B28" s="272" t="str">
        <x:v>Room only</x:v>
      </x:c>
      <x:c r="C28" s="200" t="str">
        <x:v>Gross booking includes cleaning and other guest fees.</x:v>
      </x:c>
      <x:c r="D28" s="200"/>
      <x:c r="E28" s="200" t="str">
        <x:v>Replacement / CapEx reserve</x:v>
      </x:c>
      <x:c r="F28" s="291" t="n">
        <x:f>F18*B62</x:f>
        <x:v>1089.0000000000002</x:v>
      </x:c>
      <x:c r="G28" s="200" t="str">
        <x:v>Reserved cash, not a tax deduction when merely set aside.</x:v>
      </x:c>
    </x:row>
    <x:row r="29" ht="28" customHeight="1">
      <x:c r="A29" s="200"/>
      <x:c r="B29" s="277"/>
      <x:c r="C29" s="200"/>
      <x:c r="D29" s="200"/>
      <x:c r="E29" s="200" t="str">
        <x:v>Host-absorbed lodging taxes</x:v>
      </x:c>
      <x:c r="F29" s="291" t="n">
        <x:f>F21*B63</x:f>
        <x:v>0</x:v>
      </x:c>
      <x:c r="G29" s="200" t="str">
        <x:v>Only taxes borne by the host.</x:v>
      </x:c>
    </x:row>
    <x:row r="30" ht="28" customHeight="1">
      <x:c r="A30" s="305" t="str">
        <x:v>02 / INITIAL CASH REQUIRED</x:v>
      </x:c>
      <x:c r="B30" s="305" t="str">
        <x:v>02 / INITIAL CASH REQUIRED</x:v>
      </x:c>
      <x:c r="C30" s="305" t="str">
        <x:v>02 / INITIAL CASH REQUIRED</x:v>
      </x:c>
      <x:c r="D30" s="200"/>
      <x:c r="E30" s="305" t="str">
        <x:v>Fixed operating costs</x:v>
      </x:c>
      <x:c r="F30" s="309" t="n">
        <x:f>(B18+SUM(B49:B58))*12</x:f>
        <x:v>38640</x:v>
      </x:c>
      <x:c r="G30" s="305" t="str">
        <x:v>Includes ongoing rent.</x:v>
      </x:c>
    </x:row>
    <x:row r="31" ht="28" customHeight="1">
      <x:c r="A31" s="200" t="str">
        <x:v>Refundable security deposit</x:v>
      </x:c>
      <x:c r="B31" s="274" t="n">
        <x:v>2200</x:v>
      </x:c>
      <x:c r="C31" s="200" t="str">
        <x:v>Included in cash tied up; recovery is not assumed in payback.</x:v>
      </x:c>
      <x:c r="D31" s="200"/>
      <x:c r="E31" s="200" t="str">
        <x:v>Total cash operating outflows</x:v>
      </x:c>
      <x:c r="F31" s="291" t="n">
        <x:f>F22+SUM(F24:F30)</x:f>
        <x:v>67473.75</x:v>
      </x:c>
      <x:c r="G31" s="200" t="str">
        <x:v>Includes replacement reserve; excludes income tax.</x:v>
      </x:c>
    </x:row>
    <x:row r="32" ht="28" customHeight="1">
      <x:c r="A32" s="200" t="str">
        <x:v>Application / screening fees</x:v>
      </x:c>
      <x:c r="B32" s="274" t="n">
        <x:v>150</x:v>
      </x:c>
      <x:c r="C32" s="200" t="str">
        <x:v>Nonrefundable lease application expenses.</x:v>
      </x:c>
      <x:c r="D32" s="200"/>
      <x:c r="E32" s="200" t="str">
        <x:v>ANNUAL OPERATING CASH FLOW</x:v>
      </x:c>
      <x:c r="F32" s="291" t="n">
        <x:f>F21-F31</x:f>
        <x:v>-3123.7499999999927</x:v>
      </x:c>
      <x:c r="G32" s="200" t="str">
        <x:v>Before owner income taxes; no financing assumed.</x:v>
      </x:c>
    </x:row>
    <x:row r="33" ht="28" customHeight="1">
      <x:c r="A33" s="200" t="str">
        <x:v>Utility deposits</x:v>
      </x:c>
      <x:c r="B33" s="274" t="n">
        <x:v>300</x:v>
      </x:c>
      <x:c r="C33" s="200" t="str">
        <x:v>Deposits and connection charges required before opening.</x:v>
      </x:c>
      <x:c r="D33" s="200"/>
      <x:c r="E33" s="200" t="str">
        <x:v>Monthly operating cash flow</x:v>
      </x:c>
      <x:c r="F33" s="291" t="n">
        <x:f>F32/12</x:f>
        <x:v>-260.3124999999994</x:v>
      </x:c>
      <x:c r="G33" s="200" t="str">
        <x:v>Annual average; review the low months separately.</x:v>
      </x:c>
    </x:row>
    <x:row r="34" ht="28" customHeight="1">
      <x:c r="A34" s="200" t="str">
        <x:v>Prepaid rent</x:v>
      </x:c>
      <x:c r="B34" s="274" t="n">
        <x:v>2200</x:v>
      </x:c>
      <x:c r="C34" s="200" t="str">
        <x:v>Cash required at signing; ongoing cash flow remains a stabilized annual view.</x:v>
      </x:c>
      <x:c r="D34" s="200"/>
      <x:c r="E34" s="200" t="str">
        <x:v>TOTAL STARTUP CAPITAL</x:v>
      </x:c>
      <x:c r="F34" s="291" t="n">
        <x:f>SUM(F35:F36)</x:f>
        <x:v>31010</x:v>
      </x:c>
      <x:c r="G34" s="200" t="str">
        <x:v>Includes deposits, prepaid funding and reserves.</x:v>
      </x:c>
    </x:row>
    <x:row r="35" ht="28" customHeight="1">
      <x:c r="A35" s="200" t="str">
        <x:v>Other upfront landlord payment</x:v>
      </x:c>
      <x:c r="B35" s="274" t="n">
        <x:v>0</x:v>
      </x:c>
      <x:c r="C35" s="200" t="str">
        <x:v>Do not enter the same deposit or prepaid rent twice.</x:v>
      </x:c>
      <x:c r="D35" s="200"/>
      <x:c r="E35" s="200" t="str">
        <x:v>Launch cash + deposits</x:v>
      </x:c>
      <x:c r="F35" s="291" t="n">
        <x:f>SUM(B31:B44)</x:f>
        <x:v>21350</x:v>
      </x:c>
      <x:c r="G35" s="200" t="str">
        <x:v>Refundable deposits still tie up investor cash.</x:v>
      </x:c>
    </x:row>
    <x:row r="36" ht="28" customHeight="1">
      <x:c r="A36" s="200" t="str">
        <x:v>Furniture / setup</x:v>
      </x:c>
      <x:c r="B36" s="274" t="n">
        <x:v>12000</x:v>
      </x:c>
      <x:c r="C36" s="200" t="str">
        <x:v>Beds, seating and other durable furniture.</x:v>
      </x:c>
      <x:c r="D36" s="200"/>
      <x:c r="E36" s="200" t="str">
        <x:v>Opening reserve</x:v>
      </x:c>
      <x:c r="F36" s="291" t="n">
        <x:f>F30/12*B45+B46</x:f>
        <x:v>9660</x:v>
      </x:c>
      <x:c r="G36" s="200" t="str">
        <x:v>Not deducted again from recurring cash flow.</x:v>
      </x:c>
    </x:row>
    <x:row r="37" ht="28" customHeight="1">
      <x:c r="A37" s="200" t="str">
        <x:v>Interior design</x:v>
      </x:c>
      <x:c r="B37" s="274" t="n">
        <x:v>1000</x:v>
      </x:c>
      <x:c r="C37" s="200" t="str">
        <x:v>Design and sourcing fees.</x:v>
      </x:c>
      <x:c r="D37" s="200"/>
      <x:c r="E37" s="200" t="str">
        <x:v>Cash-on-cash return</x:v>
      </x:c>
      <x:c r="F37" s="288" t="n">
        <x:f>IF(F34&gt;0,F32/F34,"N/M")</x:f>
        <x:v>-0.10073363431151218</x:v>
      </x:c>
      <x:c r="G37" s="200" t="str">
        <x:v>Annual stabilized cash flow / total startup cash.</x:v>
      </x:c>
    </x:row>
    <x:row r="38" ht="28" customHeight="1">
      <x:c r="A38" s="200" t="str">
        <x:v>Smart locks / security</x:v>
      </x:c>
      <x:c r="B38" s="274" t="n">
        <x:v>400</x:v>
      </x:c>
      <x:c r="C38" s="200" t="str">
        <x:v>Use lawful, disclosed security equipment; no indoor guest cameras.</x:v>
      </x:c>
      <x:c r="D38" s="200"/>
      <x:c r="E38" s="200" t="str">
        <x:v>Startup payback (months)</x:v>
      </x:c>
      <x:c r="F38" s="292" t="str">
        <x:f>IF(F32&gt;0,F34/(F32/12),"N/M")</x:f>
        <x:v>N/M</x:v>
      </x:c>
      <x:c r="G38" s="200" t="str">
        <x:v>Simple stabilized payback; not guaranteed or launch-adjusted.</x:v>
      </x:c>
    </x:row>
    <x:row r="39" ht="28" customHeight="1">
      <x:c r="A39" s="200" t="str">
        <x:v>Kitchenware / linens / supplies</x:v>
      </x:c>
      <x:c r="B39" s="274" t="n">
        <x:v>1200</x:v>
      </x:c>
      <x:c r="C39" s="200" t="str">
        <x:v>Opening inventory; recurring replacements belong in operations.</x:v>
      </x:c>
      <x:c r="D39" s="200"/>
      <x:c r="E39" s="200" t="str">
        <x:v>Cash profit margin</x:v>
      </x:c>
      <x:c r="F39" s="288" t="n">
        <x:f>IF(F21&gt;0,F32/F21,"N/M")</x:f>
        <x:v>-0.04854312354312342</x:v>
      </x:c>
      <x:c r="G39" s="200" t="str">
        <x:v>After replacement reserve; before income tax.</x:v>
      </x:c>
    </x:row>
    <x:row r="40" ht="28" customHeight="1">
      <x:c r="A40" s="200" t="str">
        <x:v>Initial consumables</x:v>
      </x:c>
      <x:c r="B40" s="274" t="n">
        <x:v>200</x:v>
      </x:c>
      <x:c r="C40" s="200" t="str">
        <x:v>Opening inventory only.</x:v>
      </x:c>
      <x:c r="D40" s="200"/>
      <x:c r="E40" s="200" t="str">
        <x:v>Room revenue / rent</x:v>
      </x:c>
      <x:c r="F40" s="293" t="n">
        <x:f>IF(B18&gt;0,F18/(B18*12),"N/M")</x:f>
        <x:v>2.0625000000000004</x:v>
      </x:c>
      <x:c r="G40" s="200" t="str">
        <x:v>Excludes cleaning fees from revenue numerator.</x:v>
      </x:c>
    </x:row>
    <x:row r="41" ht="28" customHeight="1">
      <x:c r="A41" s="200" t="str">
        <x:v>Photography</x:v>
      </x:c>
      <x:c r="B41" s="274" t="n">
        <x:v>350</x:v>
      </x:c>
      <x:c r="C41" s="200" t="str">
        <x:v>Initial listing photography.</x:v>
      </x:c>
      <x:c r="D41" s="200"/>
      <x:c r="E41" s="200" t="str">
        <x:v>Fixed-cost operating coverage</x:v>
      </x:c>
      <x:c r="F41" s="293" t="n">
        <x:f>IF(F30&gt;0,(F21-F22-SUM(F24:F29))/F30,"N/M")</x:f>
        <x:v>0.9191576086956523</x:v>
      </x:c>
      <x:c r="G41" s="200" t="str">
        <x:v>Contribution before fixed costs / fixed costs; not lender DSCR.</x:v>
      </x:c>
    </x:row>
    <x:row r="42" ht="28" customHeight="1">
      <x:c r="A42" s="200" t="str">
        <x:v>Opening permits / licenses</x:v>
      </x:c>
      <x:c r="B42" s="274" t="n">
        <x:v>350</x:v>
      </x:c>
      <x:c r="C42" s="200" t="str">
        <x:v>One-time initial fees; recurring renewals are below.</x:v>
      </x:c>
      <x:c r="D42" s="200"/>
      <x:c r="E42" s="200"/>
      <x:c r="F42" s="290"/>
      <x:c r="G42" s="200"/>
    </x:row>
    <x:row r="43" ht="28" customHeight="1">
      <x:c r="A43" s="200" t="str">
        <x:v>Other startup / legal</x:v>
      </x:c>
      <x:c r="B43" s="274" t="n">
        <x:v>1000</x:v>
      </x:c>
      <x:c r="C43" s="200" t="str">
        <x:v>Lease review, travel, contingency and other launch costs.</x:v>
      </x:c>
      <x:c r="D43" s="200"/>
      <x:c r="E43" s="200"/>
      <x:c r="F43" s="290"/>
      <x:c r="G43" s="200"/>
    </x:row>
    <x:row r="44" ht="28" customHeight="1">
      <x:c r="A44" s="200" t="str">
        <x:v>Insurance paid upfront</x:v>
      </x:c>
      <x:c r="B44" s="274" t="n">
        <x:v>0</x:v>
      </x:c>
      <x:c r="C44" s="200" t="str">
        <x:v>Only extra upfront cash funding; do not duplicate it in other startup rows.</x:v>
      </x:c>
      <x:c r="D44" s="200"/>
      <x:c r="E44" s="200" t="str">
        <x:v>Room contribution coefficient</x:v>
      </x:c>
      <x:c r="F44" s="288" t="n">
        <x:f>1-B26-B27-B61-B62-B63</x:f>
        <x:v>0.695</x:v>
      </x:c>
      <x:c r="G44" s="200" t="str">
        <x:v>Share of each room-revenue dollar after percentage costs.</x:v>
      </x:c>
    </x:row>
    <x:row r="45" ht="28" customHeight="1">
      <x:c r="A45" s="200" t="str">
        <x:v>Opening reserve (fixed months)</x:v>
      </x:c>
      <x:c r="B45" s="276" t="n">
        <x:v>3</x:v>
      </x:c>
      <x:c r="C45" s="200" t="str">
        <x:v>Months of fixed monthly costs. A planning buffer, not an operating expense.</x:v>
      </x:c>
      <x:c r="D45" s="200"/>
      <x:c r="E45" s="200" t="str">
        <x:v>Ancillary contribution / night</x:v>
      </x:c>
      <x:c r="F45" s="291" t="n">
        <x:f>IF(B23&gt;0,(B24+B25)/B23*(1-B26-IF(B28="Gross booking",B27,0)-B63)-B59/B23-B60,0)</x:f>
        <x:v>-11.75</x:v>
      </x:c>
      <x:c r="G45" s="200" t="str">
        <x:v>Net guest fees less turnover and consumables per occupied night.</x:v>
      </x:c>
    </x:row>
    <x:row r="46" ht="28" customHeight="1">
      <x:c r="A46" s="200" t="str">
        <x:v>Additional opening reserve</x:v>
      </x:c>
      <x:c r="B46" s="274" t="n">
        <x:v>0</x:v>
      </x:c>
      <x:c r="C46" s="200" t="str">
        <x:v>Extra cash buffer above the fixed-month reserve.</x:v>
      </x:c>
      <x:c r="D46" s="200"/>
      <x:c r="E46" s="200" t="str">
        <x:v>Total contribution / occupied night</x:v>
      </x:c>
      <x:c r="F46" s="291" t="n">
        <x:f>F14*F44+F45</x:f>
        <x:v>179.37500000000003</x:v>
      </x:c>
      <x:c r="G46" s="200" t="str">
        <x:v>Used in both break-even calculations.</x:v>
      </x:c>
    </x:row>
    <x:row r="47" ht="28" customHeight="1">
      <x:c r="A47" s="200"/>
      <x:c r="B47" s="277"/>
      <x:c r="C47" s="200"/>
      <x:c r="D47" s="200"/>
      <x:c r="E47" s="200" t="str">
        <x:v>BREAK-EVEN OCCUPANCY</x:v>
      </x:c>
      <x:c r="F47" s="288" t="n">
        <x:f>IF(AND(F15&gt;0,F46&gt;0),F30/(F15*F46),"N/M")</x:f>
        <x:v>0.5983739837398373</x:v>
      </x:c>
      <x:c r="G47" s="200" t="str">
        <x:v>Above 100% is infeasible; assumptions held constant.</x:v>
      </x:c>
    </x:row>
    <x:row r="48" ht="28" customHeight="1">
      <x:c r="A48" s="199" t="str">
        <x:v>03 / MONTHLY + VARIABLE OPERATIONS</x:v>
      </x:c>
      <x:c r="B48" s="277" t="str">
        <x:v>03 / MONTHLY + VARIABLE OPERATIONS</x:v>
      </x:c>
      <x:c r="C48" s="199" t="str">
        <x:v>03 / MONTHLY + VARIABLE OPERATIONS</x:v>
      </x:c>
      <x:c r="D48" s="200"/>
      <x:c r="E48" s="200" t="str">
        <x:v>BREAK-EVEN ADR</x:v>
      </x:c>
      <x:c r="F48" s="291" t="n">
        <x:f>IF(AND(F16&gt;0,F44&gt;0),MAX(0,(F30/F16-F45)/F44),"N/M")</x:f>
        <x:v>297.70002180074124</x:v>
      </x:c>
      <x:c r="G48" s="200" t="str">
        <x:v>At modeled occupancy and average stay.</x:v>
      </x:c>
    </x:row>
    <x:row r="49" ht="28" customHeight="1">
      <x:c r="A49" s="305" t="str">
        <x:v>Utilities / month</x:v>
      </x:c>
      <x:c r="B49" s="309" t="n">
        <x:v>300</x:v>
      </x:c>
      <x:c r="C49" s="305" t="str">
        <x:v>Electricity, gas, water and trash.</x:v>
      </x:c>
      <x:c r="D49" s="200"/>
      <x:c r="E49" s="305" t="str">
        <x:v>Occupancy cushion</x:v>
      </x:c>
      <x:c r="F49" s="311" t="n">
        <x:f>IF(ISNUMBER(F47),F13-F47,"N/M")</x:f>
        <x:v>-0.048373983739837256</x:v>
      </x:c>
      <x:c r="G49" s="305" t="str">
        <x:v>Percentage points above break-even.</x:v>
      </x:c>
    </x:row>
    <x:row r="50" ht="28" customHeight="1">
      <x:c r="A50" s="200" t="str">
        <x:v>Internet / month</x:v>
      </x:c>
      <x:c r="B50" s="274" t="n">
        <x:v>70</x:v>
      </x:c>
      <x:c r="C50" s="200" t="str">
        <x:v>Reliable service plus any backup requirement.</x:v>
      </x:c>
      <x:c r="D50" s="200"/>
      <x:c r="E50" s="200"/>
      <x:c r="F50" s="290"/>
      <x:c r="G50" s="200"/>
    </x:row>
    <x:row r="51" ht="28" customHeight="1">
      <x:c r="A51" s="200" t="str">
        <x:v>Insurance / month</x:v>
      </x:c>
      <x:c r="B51" s="274" t="n">
        <x:v>150</x:v>
      </x:c>
      <x:c r="C51" s="200" t="str">
        <x:v>STR-appropriate policy; obtain a written quote.</x:v>
      </x:c>
      <x:c r="D51" s="200"/>
      <x:c r="E51" s="200" t="str">
        <x:v>Input check</x:v>
      </x:c>
      <x:c r="F51" s="289" t="str">
        <x:f>IF(OR(B23&lt;1,B17&lt;1,B21&lt;0,B21&gt;1,B22&lt;0,B22&gt;365,MIN(B18,B20,B24:B27,B31:B46,B49:B63)&lt;0,F13&gt;1,F15&gt;365),"CHECK INPUTS","OK")</x:f>
        <x:v>OK</x:v>
      </x:c>
      <x:c r="G51" s="200" t="str">
        <x:v>Validation helps; still inspect pasted inputs.</x:v>
      </x:c>
    </x:row>
    <x:row r="52" ht="28" customHeight="1">
      <x:c r="A52" s="200" t="str">
        <x:v>Software / month</x:v>
      </x:c>
      <x:c r="B52" s="274" t="n">
        <x:v>75</x:v>
      </x:c>
      <x:c r="C52" s="200" t="str">
        <x:v>PMS, pricing, automation and subscriptions.</x:v>
      </x:c>
      <x:c r="D52" s="200"/>
      <x:c r="E52" s="200" t="str">
        <x:v>Permission gate</x:v>
      </x:c>
      <x:c r="F52" s="289" t="str">
        <x:f>IF(COUNTIF(B14:B16,"No")&gt;0,"STOP",IF(COUNTIF(B14:B16,"Yes")=3,"CONFIRMED BY USER","HOLD"))</x:f>
        <x:v>HOLD</x:v>
      </x:c>
      <x:c r="G52" s="200" t="str">
        <x:v>User confirmation is not independent legal verification.</x:v>
      </x:c>
    </x:row>
    <x:row r="53" ht="28" customHeight="1">
      <x:c r="A53" s="200" t="str">
        <x:v>Lawn / pool / snow / month</x:v>
      </x:c>
      <x:c r="B53" s="274" t="n">
        <x:v>75</x:v>
      </x:c>
      <x:c r="C53" s="200" t="str">
        <x:v>Monthly average; add seasonal service spikes in your reserve.</x:v>
      </x:c>
      <x:c r="D53" s="200"/>
      <x:c r="E53" s="200" t="str">
        <x:v>Financial screen</x:v>
      </x:c>
      <x:c r="F53" s="289" t="str">
        <x:f>IF(AND(F51="OK",F33&gt;=B66,ISNUMBER(F37),F37&gt;=B67,ISNUMBER(F47),F47&lt;=B68,ISNUMBER(F49),F49&gt;=B69,ISNUMBER(F38),F38&lt;=MIN(B70,B17),B45&gt;=B71,ISNUMBER(F40),F40&gt;=B72),"MEETS YOUR TARGETS","REVIEW / REPRICE")</x:f>
        <x:v>REVIEW / REPRICE</x:v>
      </x:c>
      <x:c r="G53" s="200" t="str">
        <x:v>Illustrative thresholds; no assurance of returns.</x:v>
      </x:c>
    </x:row>
    <x:row r="54" ht="28" customHeight="1">
      <x:c r="A54" s="200" t="str">
        <x:v>HOA / building / month</x:v>
      </x:c>
      <x:c r="B54" s="274" t="n">
        <x:v>0</x:v>
      </x:c>
      <x:c r="C54" s="200" t="str">
        <x:v>Only where required and STR use is permitted.</x:v>
      </x:c>
      <x:c r="D54" s="200"/>
      <x:c r="E54" s="200" t="str">
        <x:v>OVERALL SCREEN</x:v>
      </x:c>
      <x:c r="F54" s="289" t="str">
        <x:f>IF(F51&lt;&gt;"OK","FIX INPUTS",IF(F52="STOP","STOP: PERMISSION DENIED",IF(F52="HOLD","HOLD: PERMISSIONS",F53)))</x:f>
        <x:v>HOLD: PERMISSIONS</x:v>
      </x:c>
      <x:c r="G54" s="200" t="str">
        <x:v>A positive financial screen cannot override a missing approval.</x:v>
      </x:c>
    </x:row>
    <x:row r="55" ht="28" customHeight="1">
      <x:c r="A55" s="200" t="str">
        <x:v>Licenses / taxes / month</x:v>
      </x:c>
      <x:c r="B55" s="274" t="n">
        <x:v>50</x:v>
      </x:c>
      <x:c r="C55" s="200" t="str">
        <x:v>Recurring fees and non-pass-through taxes; no income tax.</x:v>
      </x:c>
      <x:c r="D55" s="200"/>
      <x:c r="E55" s="200"/>
      <x:c r="F55" s="290"/>
      <x:c r="G55" s="200"/>
    </x:row>
    <x:row r="56" ht="28" customHeight="1">
      <x:c r="A56" s="200" t="str">
        <x:v>Fixed VA / labor / month</x:v>
      </x:c>
      <x:c r="B56" s="274" t="n">
        <x:v>100</x:v>
      </x:c>
      <x:c r="C56" s="200" t="str">
        <x:v>Add only costs not included in management percentage.</x:v>
      </x:c>
      <x:c r="D56" s="200"/>
      <x:c r="E56" s="200"/>
      <x:c r="F56" s="290"/>
      <x:c r="G56" s="200"/>
    </x:row>
    <x:row r="57" ht="28" customHeight="1">
      <x:c r="A57" s="200" t="str">
        <x:v>Fixed maintenance / month</x:v>
      </x:c>
      <x:c r="B57" s="274" t="n">
        <x:v>100</x:v>
      </x:c>
      <x:c r="C57" s="200" t="str">
        <x:v>Base maintenance, separate from revenue-linked provision.</x:v>
      </x:c>
      <x:c r="D57" s="200"/>
      <x:c r="E57" s="200"/>
      <x:c r="F57" s="290"/>
      <x:c r="G57" s="200"/>
    </x:row>
    <x:row r="58" ht="28" customHeight="1">
      <x:c r="A58" s="200" t="str">
        <x:v>Miscellaneous fixed / month</x:v>
      </x:c>
      <x:c r="B58" s="274" t="n">
        <x:v>100</x:v>
      </x:c>
      <x:c r="C58" s="200" t="str">
        <x:v>Do not omit small recurring expenses.</x:v>
      </x:c>
      <x:c r="D58" s="200"/>
      <x:c r="E58" s="200"/>
      <x:c r="F58" s="290"/>
      <x:c r="G58" s="200"/>
    </x:row>
    <x:row r="59" ht="28" customHeight="1">
      <x:c r="A59" s="200" t="str">
        <x:v>Cleaning cost / stay</x:v>
      </x:c>
      <x:c r="B59" s="274" t="n">
        <x:v>150</x:v>
      </x:c>
      <x:c r="C59" s="200" t="str">
        <x:v>Include laundry, supplies and turnover labor.</x:v>
      </x:c>
      <x:c r="D59" s="200"/>
      <x:c r="E59" s="200"/>
      <x:c r="F59" s="290"/>
      <x:c r="G59" s="200"/>
    </x:row>
    <x:row r="60" ht="28" customHeight="1">
      <x:c r="A60" s="200" t="str">
        <x:v>Consumables / occupied night</x:v>
      </x:c>
      <x:c r="B60" s="274" t="n">
        <x:v>4</x:v>
      </x:c>
      <x:c r="C60" s="200" t="str">
        <x:v>Coffee, toiletries and other usage-linked costs.</x:v>
      </x:c>
      <x:c r="D60" s="200"/>
      <x:c r="E60" s="200"/>
      <x:c r="F60" s="290"/>
      <x:c r="G60" s="200"/>
    </x:row>
    <x:row r="61" ht="28" customHeight="1">
      <x:c r="A61" s="200" t="str">
        <x:v>Variable repairs / room revenue</x:v>
      </x:c>
      <x:c r="B61" s="275" t="n">
        <x:v>0.03</x:v>
      </x:c>
      <x:c r="C61" s="200" t="str">
        <x:v>Additional revenue-linked repairs allowance.</x:v>
      </x:c>
      <x:c r="D61" s="200"/>
      <x:c r="E61" s="200"/>
      <x:c r="F61" s="290"/>
      <x:c r="G61" s="200"/>
    </x:row>
    <x:row r="62" ht="28" customHeight="1">
      <x:c r="A62" s="200" t="str">
        <x:v>Replacement reserve / room revenue</x:v>
      </x:c>
      <x:c r="B62" s="275" t="n">
        <x:v>0.02</x:v>
      </x:c>
      <x:c r="C62" s="200" t="str">
        <x:v>Cash reserve for furnishings and other future replacements.</x:v>
      </x:c>
      <x:c r="D62" s="200"/>
      <x:c r="E62" s="200"/>
      <x:c r="F62" s="290"/>
      <x:c r="G62" s="200"/>
    </x:row>
    <x:row r="63" ht="35" customHeight="1">
      <x:c r="A63" s="200" t="str">
        <x:v>Host-absorbed lodging tax</x:v>
      </x:c>
      <x:c r="B63" s="275" t="n">
        <x:v>0</x:v>
      </x:c>
      <x:c r="C63" s="200" t="str">
        <x:v>Percentage of gross booking borne by host; pass-through tax is excluded.</x:v>
      </x:c>
      <x:c r="D63" s="200"/>
      <x:c r="E63" s="200"/>
      <x:c r="F63" s="290"/>
      <x:c r="G63" s="200"/>
    </x:row>
    <x:row r="64" ht="27" customHeight="1">
      <x:c r="A64" s="200"/>
      <x:c r="B64" s="277"/>
      <x:c r="C64" s="200"/>
      <x:c r="D64" s="200"/>
      <x:c r="E64" s="200"/>
      <x:c r="F64" s="290"/>
      <x:c r="G64" s="200"/>
    </x:row>
    <x:row r="65" ht="25" customHeight="1">
      <x:c r="A65" s="199" t="str">
        <x:v>04 / YOUR SCREENING TARGETS</x:v>
      </x:c>
      <x:c r="B65" s="277" t="str">
        <x:v>04 / YOUR SCREENING TARGETS</x:v>
      </x:c>
      <x:c r="C65" s="199" t="str">
        <x:v>04 / YOUR SCREENING TARGETS</x:v>
      </x:c>
      <x:c r="D65" s="200"/>
      <x:c r="E65" s="200"/>
      <x:c r="F65" s="290"/>
      <x:c r="G65" s="200"/>
    </x:row>
    <x:row r="66" ht="28" customHeight="1">
      <x:c r="A66" s="200" t="str">
        <x:v>Minimum monthly cash flow</x:v>
      </x:c>
      <x:c r="B66" s="274" t="n">
        <x:v>500</x:v>
      </x:c>
      <x:c r="C66" s="200" t="str">
        <x:v>Teaching target only; choose your own required compensation.</x:v>
      </x:c>
      <x:c r="D66" s="200"/>
      <x:c r="E66" s="200"/>
      <x:c r="F66" s="290"/>
      <x:c r="G66" s="200"/>
    </x:row>
    <x:row r="67" ht="28" customHeight="1">
      <x:c r="A67" s="200" t="str">
        <x:v>Minimum cash-on-cash</x:v>
      </x:c>
      <x:c r="B67" s="275" t="n">
        <x:v>0.2</x:v>
      </x:c>
      <x:c r="C67" s="200" t="str">
        <x:v>On total opening cash, including deposits and reserves.</x:v>
      </x:c>
      <x:c r="D67" s="200"/>
      <x:c r="E67" s="200"/>
      <x:c r="F67" s="290"/>
      <x:c r="G67" s="200"/>
    </x:row>
    <x:row r="68" ht="28" customHeight="1">
      <x:c r="A68" s="200" t="str">
        <x:v>Maximum break-even occupancy</x:v>
      </x:c>
      <x:c r="B68" s="275" t="n">
        <x:v>0.5</x:v>
      </x:c>
      <x:c r="C68" s="200" t="str">
        <x:v>Lower provides more downside room; not a universal rule.</x:v>
      </x:c>
      <x:c r="D68" s="200"/>
      <x:c r="E68" s="200"/>
      <x:c r="F68" s="290"/>
      <x:c r="G68" s="200"/>
    </x:row>
    <x:row r="69" ht="28" customHeight="1">
      <x:c r="A69" s="200" t="str">
        <x:v>Minimum occupancy cushion</x:v>
      </x:c>
      <x:c r="B69" s="275" t="n">
        <x:v>0.1</x:v>
      </x:c>
      <x:c r="C69" s="200" t="str">
        <x:v>Base occupancy minus break-even, in percentage points.</x:v>
      </x:c>
      <x:c r="D69" s="200"/>
      <x:c r="E69" s="200"/>
      <x:c r="F69" s="290"/>
      <x:c r="G69" s="200"/>
    </x:row>
    <x:row r="70" ht="28" customHeight="1">
      <x:c r="A70" s="305" t="str">
        <x:v>Maximum payback (months)</x:v>
      </x:c>
      <x:c r="B70" s="313" t="n">
        <x:v>24</x:v>
      </x:c>
      <x:c r="C70" s="305" t="str">
        <x:v>Must also fit within the remaining lease term.</x:v>
      </x:c>
      <x:c r="D70" s="200"/>
      <x:c r="E70" s="305"/>
      <x:c r="F70" s="305"/>
      <x:c r="G70" s="305"/>
    </x:row>
    <x:row r="71" ht="28" customHeight="1">
      <x:c r="A71" s="200" t="str">
        <x:v>Minimum reserve (months)</x:v>
      </x:c>
      <x:c r="B71" s="276" t="n">
        <x:v>3</x:v>
      </x:c>
      <x:c r="C71" s="200" t="str">
        <x:v>Based on fixed costs, before revenue-dependent spending.</x:v>
      </x:c>
      <x:c r="D71" s="200"/>
      <x:c r="E71" s="200"/>
      <x:c r="F71" s="290"/>
      <x:c r="G71" s="200"/>
    </x:row>
    <x:row r="72" ht="28" customHeight="1">
      <x:c r="A72" s="200" t="str">
        <x:v>Minimum room revenue / rent</x:v>
      </x:c>
      <x:c r="B72" s="278" t="n">
        <x:v>2</x:v>
      </x:c>
      <x:c r="C72" s="200" t="str">
        <x:v>Room revenue only; ignores cleaning fees in this ratio.</x:v>
      </x:c>
      <x:c r="D72" s="200"/>
      <x:c r="E72" s="200"/>
      <x:c r="F72" s="290"/>
      <x:c r="G72" s="200"/>
    </x:row>
    <x:row r="73" ht="27" customHeight="1">
      <x:c r="A73" s="6"/>
      <x:c r="B73" s="277"/>
      <x:c r="C73" s="6"/>
      <x:c r="D73" s="6"/>
      <x:c r="E73" s="6"/>
      <x:c r="F73" s="290"/>
      <x:c r="G73" s="6"/>
    </x:row>
    <x:row r="74" ht="27" customHeight="1">
      <x:c r="A74" s="6"/>
      <x:c r="B74" s="6"/>
      <x:c r="C74" s="6"/>
      <x:c r="D74" s="6"/>
      <x:c r="E74" s="6"/>
      <x:c r="F74" s="6"/>
      <x:c r="G74" s="6"/>
    </x:row>
    <x:row r="75" ht="27" customHeight="1">
      <x:c r="A75" s="6"/>
      <x:c r="B75" s="6"/>
      <x:c r="C75" s="6"/>
      <x:c r="D75" s="6"/>
      <x:c r="E75" s="6"/>
      <x:c r="F75" s="6"/>
      <x:c r="G75" s="6"/>
    </x:row>
    <x:row r="76" ht="27" customHeight="1">
      <x:c r="A76" s="6"/>
      <x:c r="B76" s="6"/>
      <x:c r="C76" s="6"/>
      <x:c r="D76" s="6"/>
      <x:c r="E76" s="6"/>
      <x:c r="F76" s="6"/>
      <x:c r="G76" s="6"/>
    </x:row>
    <x:row r="77" ht="27" customHeight="1">
      <x:c r="A77" s="6"/>
      <x:c r="B77" s="6"/>
      <x:c r="C77" s="6"/>
      <x:c r="D77" s="6"/>
      <x:c r="E77" s="6"/>
      <x:c r="F77" s="6"/>
      <x:c r="G77" s="6"/>
    </x:row>
    <x:row r="78" ht="27" customHeight="1">
      <x:c r="A78" s="6"/>
      <x:c r="B78" s="6"/>
      <x:c r="C78" s="6"/>
      <x:c r="D78" s="6"/>
      <x:c r="E78" s="6"/>
      <x:c r="F78" s="6"/>
      <x:c r="G78" s="6"/>
    </x:row>
    <x:row r="79" ht="27" customHeight="1">
      <x:c r="A79" s="6"/>
      <x:c r="B79" s="6"/>
      <x:c r="C79" s="6"/>
      <x:c r="D79" s="6"/>
      <x:c r="E79" s="6"/>
      <x:c r="F79" s="6"/>
      <x:c r="G79" s="6"/>
    </x:row>
    <x:row r="80" ht="27" customHeight="1">
      <x:c r="A80" s="6"/>
      <x:c r="B80" s="6"/>
      <x:c r="C80" s="6"/>
      <x:c r="D80" s="6"/>
      <x:c r="E80" s="6"/>
      <x:c r="F80" s="6"/>
      <x:c r="G80" s="6"/>
    </x:row>
    <x:row r="81" ht="27" customHeight="1">
      <x:c r="A81" s="6"/>
      <x:c r="B81" s="6"/>
      <x:c r="C81" s="6"/>
      <x:c r="D81" s="6"/>
      <x:c r="E81" s="6"/>
      <x:c r="F81" s="6"/>
      <x:c r="G81" s="6"/>
    </x:row>
    <x:row r="82" ht="27" customHeight="1">
      <x:c r="A82" s="6"/>
      <x:c r="B82" s="6"/>
      <x:c r="C82" s="6"/>
      <x:c r="D82" s="6"/>
      <x:c r="E82" s="6"/>
      <x:c r="F82" s="6"/>
      <x:c r="G82" s="6"/>
    </x:row>
    <x:row r="83" ht="27" customHeight="1">
      <x:c r="A83" s="6"/>
      <x:c r="B83" s="6"/>
      <x:c r="C83" s="6"/>
      <x:c r="D83" s="6"/>
      <x:c r="E83" s="6"/>
      <x:c r="F83" s="6"/>
      <x:c r="G83" s="6"/>
    </x:row>
    <x:row r="84" ht="27" customHeight="1">
      <x:c r="A84" s="6"/>
      <x:c r="B84" s="6"/>
      <x:c r="C84" s="6"/>
      <x:c r="D84" s="6"/>
      <x:c r="E84" s="6"/>
      <x:c r="F84" s="6"/>
      <x:c r="G84" s="6"/>
    </x:row>
    <x:row r="85" ht="27" customHeight="1">
      <x:c r="A85" s="6"/>
      <x:c r="B85" s="6"/>
      <x:c r="C85" s="6"/>
      <x:c r="D85" s="6"/>
      <x:c r="E85" s="6"/>
      <x:c r="F85" s="6"/>
      <x:c r="G85" s="6"/>
    </x:row>
    <x:row r="86" ht="27" customHeight="1">
      <x:c r="A86" s="6"/>
      <x:c r="B86" s="6"/>
      <x:c r="C86" s="6"/>
      <x:c r="D86" s="6"/>
      <x:c r="E86" s="6"/>
      <x:c r="F86" s="6"/>
      <x:c r="G86" s="6"/>
    </x:row>
    <x:row r="87" ht="27" customHeight="1">
      <x:c r="A87" s="6"/>
      <x:c r="B87" s="6"/>
      <x:c r="C87" s="6"/>
      <x:c r="D87" s="6"/>
      <x:c r="E87" s="6"/>
      <x:c r="F87" s="6"/>
      <x:c r="G87" s="6"/>
    </x:row>
    <x:row r="88" ht="27" customHeight="1">
      <x:c r="A88" s="6"/>
      <x:c r="B88" s="6"/>
      <x:c r="C88" s="6"/>
      <x:c r="D88" s="6"/>
      <x:c r="E88" s="6"/>
      <x:c r="F88" s="6"/>
      <x:c r="G88" s="6"/>
    </x:row>
    <x:row r="89" ht="27" customHeight="1">
      <x:c r="A89" s="6"/>
      <x:c r="B89" s="6"/>
      <x:c r="C89" s="6"/>
      <x:c r="D89" s="6"/>
      <x:c r="E89" s="6"/>
      <x:c r="F89" s="6"/>
      <x:c r="G89" s="6"/>
    </x:row>
    <x:row r="90" ht="27" customHeight="1">
      <x:c r="A90" s="6"/>
      <x:c r="B90" s="6"/>
      <x:c r="C90" s="6"/>
      <x:c r="D90" s="6"/>
      <x:c r="E90" s="6"/>
      <x:c r="F90" s="6"/>
      <x:c r="G90" s="6"/>
    </x:row>
    <x:row r="91" ht="27" customHeight="1">
      <x:c r="A91" s="6"/>
      <x:c r="B91" s="6"/>
      <x:c r="C91" s="6"/>
      <x:c r="D91" s="6"/>
      <x:c r="E91" s="6"/>
      <x:c r="F91" s="6"/>
      <x:c r="G91" s="6"/>
    </x:row>
    <x:row r="92" ht="27" customHeight="1">
      <x:c r="A92" s="6"/>
      <x:c r="B92" s="6"/>
      <x:c r="C92" s="6"/>
      <x:c r="D92" s="6"/>
      <x:c r="E92" s="6"/>
      <x:c r="F92" s="6"/>
      <x:c r="G92" s="6"/>
    </x:row>
    <x:row r="93" ht="27" customHeight="1">
      <x:c r="A93" s="6"/>
      <x:c r="B93" s="6"/>
      <x:c r="C93" s="6"/>
      <x:c r="D93" s="6"/>
      <x:c r="E93" s="6"/>
      <x:c r="F93" s="6"/>
      <x:c r="G93" s="6"/>
    </x:row>
    <x:row r="94" ht="27" customHeight="1">
      <x:c r="A94" s="6"/>
      <x:c r="B94" s="6"/>
      <x:c r="C94" s="6"/>
      <x:c r="D94" s="6"/>
      <x:c r="E94" s="6"/>
      <x:c r="F94" s="6"/>
      <x:c r="G94" s="6"/>
    </x:row>
    <x:row r="95" ht="27" customHeight="1">
      <x:c r="A95" s="6"/>
      <x:c r="B95" s="6"/>
      <x:c r="C95" s="6"/>
      <x:c r="D95" s="6"/>
      <x:c r="E95" s="6"/>
      <x:c r="F95" s="6"/>
      <x:c r="G95" s="6"/>
    </x:row>
  </x:sheetData>
  <x:mergeCells>
    <x:mergeCell ref="A1:G2"/>
    <x:mergeCell ref="A3:G4"/>
    <x:mergeCell ref="A12:C12"/>
    <x:mergeCell ref="E12:G12"/>
    <x:mergeCell ref="A30:C30"/>
    <x:mergeCell ref="A48:C48"/>
    <x:mergeCell ref="A65:C65"/>
    <x:mergeCell ref="A10:G10"/>
  </x:mergeCells>
  <x:conditionalFormatting sqref="F13:F60">
    <x:cfRule type="cellIs" dxfId="0" priority="1" operator="lessThan">
      <x:formula>0</x:formula>
    </x:cfRule>
  </x:conditionalFormatting>
  <x:dataValidations count="53">
    <x:dataValidation type="list" sqref="B14">
      <x:formula1>"Unconfirmed,Yes,No"</x:formula1>
    </x:dataValidation>
    <x:dataValidation type="list" sqref="B15">
      <x:formula1>"Unconfirmed,Yes,No"</x:formula1>
    </x:dataValidation>
    <x:dataValidation type="list" sqref="B16">
      <x:formula1>"Unconfirmed,Yes,No"</x:formula1>
    </x:dataValidation>
    <x:dataValidation type="list" sqref="B19">
      <x:formula1>"Flat,Monthly"</x:formula1>
    </x:dataValidation>
    <x:dataValidation type="decimal" operator="between" sqref="B20">
      <x:formula1>0</x:formula1>
      <x:formula2>1000000000</x:formula2>
    </x:dataValidation>
    <x:dataValidation type="decimal" operator="between" sqref="B21">
      <x:formula1>0</x:formula1>
      <x:formula2>1</x:formula2>
    </x:dataValidation>
    <x:dataValidation type="whole" operator="between" sqref="B22">
      <x:formula1>0</x:formula1>
      <x:formula2>365</x:formula2>
    </x:dataValidation>
    <x:dataValidation type="decimal" operator="between" sqref="B23">
      <x:formula1>1</x:formula1>
      <x:formula2>365</x:formula2>
    </x:dataValidation>
    <x:dataValidation type="decimal" operator="between" sqref="B24">
      <x:formula1>0</x:formula1>
      <x:formula2>1000000000</x:formula2>
    </x:dataValidation>
    <x:dataValidation type="decimal" operator="between" sqref="B25">
      <x:formula1>0</x:formula1>
      <x:formula2>1000000000</x:formula2>
    </x:dataValidation>
    <x:dataValidation type="decimal" operator="between" sqref="B26">
      <x:formula1>0</x:formula1>
      <x:formula2>1</x:formula2>
    </x:dataValidation>
    <x:dataValidation type="decimal" operator="between" sqref="B27">
      <x:formula1>0</x:formula1>
      <x:formula2>1</x:formula2>
    </x:dataValidation>
    <x:dataValidation type="list" sqref="B28">
      <x:formula1>"Room only,Gross booking"</x:formula1>
    </x:dataValidation>
    <x:dataValidation type="whole" operator="between" sqref="B17">
      <x:formula1>1</x:formula1>
      <x:formula2>120</x:formula2>
    </x:dataValidation>
    <x:dataValidation type="decimal" operator="between" sqref="B18">
      <x:formula1>0</x:formula1>
      <x:formula2>1000000000</x:formula2>
    </x:dataValidation>
    <x:dataValidation type="decimal" operator="between" sqref="B31">
      <x:formula1>0</x:formula1>
      <x:formula2>1000000000</x:formula2>
    </x:dataValidation>
    <x:dataValidation type="decimal" operator="between" sqref="B32">
      <x:formula1>0</x:formula1>
      <x:formula2>1000000000</x:formula2>
    </x:dataValidation>
    <x:dataValidation type="decimal" operator="between" sqref="B33">
      <x:formula1>0</x:formula1>
      <x:formula2>1000000000</x:formula2>
    </x:dataValidation>
    <x:dataValidation type="decimal" operator="between" sqref="B34">
      <x:formula1>0</x:formula1>
      <x:formula2>1000000000</x:formula2>
    </x:dataValidation>
    <x:dataValidation type="decimal" operator="between" sqref="B35">
      <x:formula1>0</x:formula1>
      <x:formula2>1000000000</x:formula2>
    </x:dataValidation>
    <x:dataValidation type="decimal" operator="between" sqref="B36">
      <x:formula1>0</x:formula1>
      <x:formula2>1000000000</x:formula2>
    </x:dataValidation>
    <x:dataValidation type="decimal" operator="between" sqref="B37">
      <x:formula1>0</x:formula1>
      <x:formula2>1000000000</x:formula2>
    </x:dataValidation>
    <x:dataValidation type="decimal" operator="between" sqref="B38">
      <x:formula1>0</x:formula1>
      <x:formula2>1000000000</x:formula2>
    </x:dataValidation>
    <x:dataValidation type="decimal" operator="between" sqref="B39">
      <x:formula1>0</x:formula1>
      <x:formula2>1000000000</x:formula2>
    </x:dataValidation>
    <x:dataValidation type="decimal" operator="between" sqref="B40">
      <x:formula1>0</x:formula1>
      <x:formula2>1000000000</x:formula2>
    </x:dataValidation>
    <x:dataValidation type="decimal" operator="between" sqref="B41">
      <x:formula1>0</x:formula1>
      <x:formula2>1000000000</x:formula2>
    </x:dataValidation>
    <x:dataValidation type="decimal" operator="between" sqref="B42">
      <x:formula1>0</x:formula1>
      <x:formula2>1000000000</x:formula2>
    </x:dataValidation>
    <x:dataValidation type="decimal" operator="between" sqref="B43">
      <x:formula1>0</x:formula1>
      <x:formula2>1000000000</x:formula2>
    </x:dataValidation>
    <x:dataValidation type="decimal" operator="between" sqref="B44">
      <x:formula1>0</x:formula1>
      <x:formula2>1000000000</x:formula2>
    </x:dataValidation>
    <x:dataValidation type="decimal" operator="between" sqref="B45">
      <x:formula1>0</x:formula1>
      <x:formula2>1000000000</x:formula2>
    </x:dataValidation>
    <x:dataValidation type="decimal" operator="between" sqref="B46">
      <x:formula1>0</x:formula1>
      <x:formula2>1000000000</x:formula2>
    </x:dataValidation>
    <x:dataValidation type="decimal" operator="between" sqref="B49">
      <x:formula1>0</x:formula1>
      <x:formula2>1000000000</x:formula2>
    </x:dataValidation>
    <x:dataValidation type="decimal" operator="between" sqref="B50">
      <x:formula1>0</x:formula1>
      <x:formula2>1000000000</x:formula2>
    </x:dataValidation>
    <x:dataValidation type="decimal" operator="between" sqref="B51">
      <x:formula1>0</x:formula1>
      <x:formula2>1000000000</x:formula2>
    </x:dataValidation>
    <x:dataValidation type="decimal" operator="between" sqref="B52">
      <x:formula1>0</x:formula1>
      <x:formula2>1000000000</x:formula2>
    </x:dataValidation>
    <x:dataValidation type="decimal" operator="between" sqref="B53">
      <x:formula1>0</x:formula1>
      <x:formula2>1000000000</x:formula2>
    </x:dataValidation>
    <x:dataValidation type="decimal" operator="between" sqref="B54">
      <x:formula1>0</x:formula1>
      <x:formula2>1000000000</x:formula2>
    </x:dataValidation>
    <x:dataValidation type="decimal" operator="between" sqref="B55">
      <x:formula1>0</x:formula1>
      <x:formula2>1000000000</x:formula2>
    </x:dataValidation>
    <x:dataValidation type="decimal" operator="between" sqref="B56">
      <x:formula1>0</x:formula1>
      <x:formula2>1000000000</x:formula2>
    </x:dataValidation>
    <x:dataValidation type="decimal" operator="between" sqref="B57">
      <x:formula1>0</x:formula1>
      <x:formula2>1000000000</x:formula2>
    </x:dataValidation>
    <x:dataValidation type="decimal" operator="between" sqref="B58">
      <x:formula1>0</x:formula1>
      <x:formula2>1000000000</x:formula2>
    </x:dataValidation>
    <x:dataValidation type="decimal" operator="between" sqref="B59">
      <x:formula1>0</x:formula1>
      <x:formula2>1000000000</x:formula2>
    </x:dataValidation>
    <x:dataValidation type="decimal" operator="between" sqref="B60">
      <x:formula1>0</x:formula1>
      <x:formula2>1000000000</x:formula2>
    </x:dataValidation>
    <x:dataValidation type="decimal" operator="between" sqref="B61">
      <x:formula1>0</x:formula1>
      <x:formula2>1</x:formula2>
    </x:dataValidation>
    <x:dataValidation type="decimal" operator="between" sqref="B62">
      <x:formula1>0</x:formula1>
      <x:formula2>1</x:formula2>
    </x:dataValidation>
    <x:dataValidation type="decimal" operator="between" sqref="B63">
      <x:formula1>0</x:formula1>
      <x:formula2>1</x:formula2>
    </x:dataValidation>
    <x:dataValidation type="decimal" operator="between" sqref="B66">
      <x:formula1>0</x:formula1>
      <x:formula2>1000000000</x:formula2>
    </x:dataValidation>
    <x:dataValidation type="decimal" operator="between" sqref="B67">
      <x:formula1>0</x:formula1>
      <x:formula2>1</x:formula2>
    </x:dataValidation>
    <x:dataValidation type="decimal" operator="between" sqref="B68">
      <x:formula1>0</x:formula1>
      <x:formula2>1</x:formula2>
    </x:dataValidation>
    <x:dataValidation type="decimal" operator="between" sqref="B69">
      <x:formula1>0</x:formula1>
      <x:formula2>1</x:formula2>
    </x:dataValidation>
    <x:dataValidation type="decimal" operator="between" sqref="B70">
      <x:formula1>0</x:formula1>
      <x:formula2>1000000000</x:formula2>
    </x:dataValidation>
    <x:dataValidation type="decimal" operator="between" sqref="B71">
      <x:formula1>0</x:formula1>
      <x:formula2>1000000000</x:formula2>
    </x:dataValidation>
    <x:dataValidation type="decimal" operator="between" sqref="B72">
      <x:formula1>0</x:formula1>
      <x:formula2>1000000000</x:formula2>
    </x:dataValidation>
  </x:dataValidations>
  <x:pageMargins left="0.7" right="0.7" top="0.75" bottom="0.75" header="0.3" footer="0.3"/>
  <x:legacyDrawing xmlns:r="http://schemas.openxmlformats.org/officeDocument/2006/relationships" r:id="Rebcc4e87b3b749eb"/>
</x:worksheet>
</file>

<file path=xl/worksheets/sheet3.xml><?xml version="1.0" encoding="utf-8"?>
<x:worksheet xmlns:x="http://schemas.openxmlformats.org/spreadsheetml/2006/main">
  <x:sheetViews>
    <x:sheetView showGridLines="0" workbookViewId="0"/>
  </x:sheetViews>
  <x:sheetFormatPr defaultRowHeight="15"/>
  <x:cols>
    <x:col min="1" max="1" width="29" hidden="0" customWidth="1"/>
    <x:col min="2" max="2" width="17" hidden="0" customWidth="1"/>
    <x:col min="3" max="3" width="46" hidden="0" customWidth="1"/>
    <x:col min="4" max="4" width="3" hidden="0" customWidth="1"/>
    <x:col min="5" max="5" width="29" hidden="0" customWidth="1"/>
    <x:col min="6" max="6" width="17" hidden="0" customWidth="1"/>
    <x:col min="7" max="7" width="42" hidden="0" customWidth="1"/>
  </x:cols>
  <x:sheetData>
    <x:row r="1" ht="28" customHeight="1">
      <x:c r="A1" s="202" t="str">
        <x:v>PROPERTY OWNERSHIP | Deal analysis</x:v>
      </x:c>
      <x:c r="B1" s="202" t="str">
        <x:v>PROPERTY OWNERSHIP | Deal analysis</x:v>
      </x:c>
      <x:c r="C1" s="202" t="str">
        <x:v>PROPERTY OWNERSHIP | Deal analysis</x:v>
      </x:c>
      <x:c r="D1" s="202" t="str">
        <x:v>PROPERTY OWNERSHIP | Deal analysis</x:v>
      </x:c>
      <x:c r="E1" s="202" t="str">
        <x:v>PROPERTY OWNERSHIP | Deal analysis</x:v>
      </x:c>
      <x:c r="F1" s="202" t="str">
        <x:v>PROPERTY OWNERSHIP | Deal analysis</x:v>
      </x:c>
      <x:c r="G1" s="202" t="str">
        <x:v>PROPERTY OWNERSHIP | Deal analysis</x:v>
      </x:c>
    </x:row>
    <x:row r="2" ht="24" customHeight="1">
      <x:c r="A2" s="202" t="str">
        <x:v>PROPERTY OWNERSHIP | Deal analysis</x:v>
      </x:c>
      <x:c r="B2" s="202" t="str">
        <x:v>PROPERTY OWNERSHIP | Deal analysis</x:v>
      </x:c>
      <x:c r="C2" s="202" t="str">
        <x:v>PROPERTY OWNERSHIP | Deal analysis</x:v>
      </x:c>
      <x:c r="D2" s="202" t="str">
        <x:v>PROPERTY OWNERSHIP | Deal analysis</x:v>
      </x:c>
      <x:c r="E2" s="202" t="str">
        <x:v>PROPERTY OWNERSHIP | Deal analysis</x:v>
      </x:c>
      <x:c r="F2" s="202" t="str">
        <x:v>PROPERTY OWNERSHIP | Deal analysis</x:v>
      </x:c>
      <x:c r="G2" s="202" t="str">
        <x:v>PROPERTY OWNERSHIP | Deal analysis</x:v>
      </x:c>
    </x:row>
    <x:row r="3" ht="27" customHeight="1">
      <x:c r="A3" s="203" t="str">
        <x:v>USD • Fixed-rate amortizing financing • NOI excludes debt service, depreciation and CapEx reserves. Cash flow includes debt service and reserves.</x:v>
      </x:c>
      <x:c r="B3" s="203" t="str">
        <x:v>USD • Fixed-rate amortizing financing • NOI excludes debt service, depreciation and CapEx reserves. Cash flow includes debt service and reserves.</x:v>
      </x:c>
      <x:c r="C3" s="203" t="str">
        <x:v>USD • Fixed-rate amortizing financing • NOI excludes debt service, depreciation and CapEx reserves. Cash flow includes debt service and reserves.</x:v>
      </x:c>
      <x:c r="D3" s="203" t="str">
        <x:v>USD • Fixed-rate amortizing financing • NOI excludes debt service, depreciation and CapEx reserves. Cash flow includes debt service and reserves.</x:v>
      </x:c>
      <x:c r="E3" s="203" t="str">
        <x:v>USD • Fixed-rate amortizing financing • NOI excludes debt service, depreciation and CapEx reserves. Cash flow includes debt service and reserves.</x:v>
      </x:c>
      <x:c r="F3" s="203" t="str">
        <x:v>USD • Fixed-rate amortizing financing • NOI excludes debt service, depreciation and CapEx reserves. Cash flow includes debt service and reserves.</x:v>
      </x:c>
      <x:c r="G3" s="203" t="str">
        <x:v>USD • Fixed-rate amortizing financing • NOI excludes debt service, depreciation and CapEx reserves. Cash flow includes debt service and reserves.</x:v>
      </x:c>
    </x:row>
    <x:row r="4" ht="27" customHeight="1">
      <x:c r="A4" s="203" t="str">
        <x:v>USD • Fixed-rate amortizing financing • NOI excludes debt service, depreciation and CapEx reserves. Cash flow includes debt service and reserves.</x:v>
      </x:c>
      <x:c r="B4" s="203" t="str">
        <x:v>USD • Fixed-rate amortizing financing • NOI excludes debt service, depreciation and CapEx reserves. Cash flow includes debt service and reserves.</x:v>
      </x:c>
      <x:c r="C4" s="203" t="str">
        <x:v>USD • Fixed-rate amortizing financing • NOI excludes debt service, depreciation and CapEx reserves. Cash flow includes debt service and reserves.</x:v>
      </x:c>
      <x:c r="D4" s="203" t="str">
        <x:v>USD • Fixed-rate amortizing financing • NOI excludes debt service, depreciation and CapEx reserves. Cash flow includes debt service and reserves.</x:v>
      </x:c>
      <x:c r="E4" s="203" t="str">
        <x:v>USD • Fixed-rate amortizing financing • NOI excludes debt service, depreciation and CapEx reserves. Cash flow includes debt service and reserves.</x:v>
      </x:c>
      <x:c r="F4" s="203" t="str">
        <x:v>USD • Fixed-rate amortizing financing • NOI excludes debt service, depreciation and CapEx reserves. Cash flow includes debt service and reserves.</x:v>
      </x:c>
      <x:c r="G4" s="203" t="str">
        <x:v>USD • Fixed-rate amortizing financing • NOI excludes debt service, depreciation and CapEx reserves. Cash flow includes debt service and reserves.</x:v>
      </x:c>
    </x:row>
    <x:row r="5" ht="27" customHeight="1">
      <x:c r="A5" s="200"/>
      <x:c r="B5" s="200"/>
      <x:c r="C5" s="200"/>
      <x:c r="D5" s="200"/>
      <x:c r="E5" s="200"/>
      <x:c r="F5" s="200"/>
      <x:c r="G5" s="200"/>
    </x:row>
    <x:row r="6" ht="27" customHeight="1">
      <x:c r="A6" s="296" t="str">
        <x:v>Annual NOI</x:v>
      </x:c>
      <x:c r="B6" s="297" t="n">
        <x:f>F32</x:f>
        <x:v>14060.250000000007</x:v>
      </x:c>
      <x:c r="C6" s="298"/>
      <x:c r="D6" s="298"/>
      <x:c r="E6" s="299" t="str">
        <x:v>Cash-on-cash</x:v>
      </x:c>
      <x:c r="F6" s="300" t="n">
        <x:f>F41</x:f>
        <x:v>-0.06084405723771366</x:v>
      </x:c>
      <x:c r="G6" s="298"/>
    </x:row>
    <x:row r="7" ht="27" customHeight="1">
      <x:c r="A7" s="296" t="str">
        <x:v>MONTHLY CASH FLOW</x:v>
      </x:c>
      <x:c r="B7" s="297" t="n">
        <x:f>F35</x:f>
        <x:v>-712.3825034915641</x:v>
      </x:c>
      <x:c r="C7" s="298"/>
      <x:c r="D7" s="298"/>
      <x:c r="E7" s="299" t="str">
        <x:v>Break-even occupancy</x:v>
      </x:c>
      <x:c r="F7" s="300" t="n">
        <x:f>F50</x:f>
        <x:v>0.7122277263857817</x:v>
      </x:c>
      <x:c r="G7" s="298"/>
    </x:row>
    <x:row r="8" ht="27" customHeight="1">
      <x:c r="A8" s="296" t="str">
        <x:v>INITIAL CASH</x:v>
      </x:c>
      <x:c r="B8" s="297" t="n">
        <x:f>F39</x:f>
        <x:v>140500</x:v>
      </x:c>
      <x:c r="C8" s="298"/>
      <x:c r="D8" s="298"/>
      <x:c r="E8" s="299" t="str">
        <x:v>Permission gate</x:v>
      </x:c>
      <x:c r="F8" s="301" t="str">
        <x:f>F56</x:f>
        <x:v>HOLD</x:v>
      </x:c>
      <x:c r="G8" s="298"/>
    </x:row>
    <x:row r="9" ht="27" customHeight="1">
      <x:c r="A9" s="200"/>
      <x:c r="B9" s="200"/>
      <x:c r="C9" s="200"/>
      <x:c r="D9" s="200"/>
      <x:c r="E9" s="200"/>
      <x:c r="F9" s="290"/>
      <x:c r="G9" s="200"/>
    </x:row>
    <x:row r="10" ht="32" customHeight="1">
      <x:c r="A10" s="303" t="str">
        <x:v>MODEL CHECK: legal permission is a hard gate. Monthly averages hide low-season shortfalls. N/M means not meaningful or not feasible under the inputs.</x:v>
      </x:c>
      <x:c r="B10" s="303" t="str">
        <x:v>MODEL CHECK: legal permission is a hard gate. Monthly averages hide low-season shortfalls. N/M means not meaningful or not feasible under the inputs.</x:v>
      </x:c>
      <x:c r="C10" s="303" t="str">
        <x:v>MODEL CHECK: legal permission is a hard gate. Monthly averages hide low-season shortfalls. N/M means not meaningful or not feasible under the inputs.</x:v>
      </x:c>
      <x:c r="D10" s="303" t="str">
        <x:v>MODEL CHECK: legal permission is a hard gate. Monthly averages hide low-season shortfalls. N/M means not meaningful or not feasible under the inputs.</x:v>
      </x:c>
      <x:c r="E10" s="303" t="str">
        <x:v>MODEL CHECK: legal permission is a hard gate. Monthly averages hide low-season shortfalls. N/M means not meaningful or not feasible under the inputs.</x:v>
      </x:c>
      <x:c r="F10" s="304" t="str">
        <x:v>MODEL CHECK: legal permission is a hard gate. Monthly averages hide low-season shortfalls. N/M means not meaningful or not feasible under the inputs.</x:v>
      </x:c>
      <x:c r="G10" s="303" t="str">
        <x:v>MODEL CHECK: legal permission is a hard gate. Monthly averages hide low-season shortfalls. N/M means not meaningful or not feasible under the inputs.</x:v>
      </x:c>
    </x:row>
    <x:row r="11" ht="27" customHeight="1">
      <x:c r="A11" s="200"/>
      <x:c r="B11" s="200"/>
      <x:c r="C11" s="200"/>
      <x:c r="D11" s="200"/>
      <x:c r="E11" s="200"/>
      <x:c r="F11" s="290"/>
      <x:c r="G11" s="200"/>
    </x:row>
    <x:row r="12" ht="25" customHeight="1">
      <x:c r="A12" s="305" t="str">
        <x:v>01 / PROPERTY + REVENUE</x:v>
      </x:c>
      <x:c r="B12" s="305" t="str">
        <x:v>01 / PROPERTY + REVENUE</x:v>
      </x:c>
      <x:c r="C12" s="305" t="str">
        <x:v>01 / PROPERTY + REVENUE</x:v>
      </x:c>
      <x:c r="D12" s="200"/>
      <x:c r="E12" s="305" t="str">
        <x:v>ANNUAL RESULTS / automatic</x:v>
      </x:c>
      <x:c r="F12" s="305" t="str">
        <x:v>ANNUAL RESULTS / automatic</x:v>
      </x:c>
      <x:c r="G12" s="305" t="str">
        <x:v>ANNUAL RESULTS / automatic</x:v>
      </x:c>
    </x:row>
    <x:row r="13" ht="28" customHeight="1">
      <x:c r="A13" s="200" t="str">
        <x:v>Property / deal name</x:v>
      </x:c>
      <x:c r="B13" s="272" t="str">
        <x:v>Example deal - replace</x:v>
      </x:c>
      <x:c r="C13" s="200" t="str">
        <x:v>Save a separate workbook copy for each property.</x:v>
      </x:c>
      <x:c r="D13" s="200"/>
      <x:c r="E13" s="200" t="str">
        <x:v>Effective occupancy</x:v>
      </x:c>
      <x:c r="F13" s="288" t="n">
        <x:f>IF(F15&gt;0,F16/F15,0)</x:f>
        <x:v>0.55</x:v>
      </x:c>
      <x:c r="G13" s="200" t="str">
        <x:v>Weighted across available nights.</x:v>
      </x:c>
    </x:row>
    <x:row r="14" ht="28" customHeight="1">
      <x:c r="A14" s="200" t="str">
        <x:v>STR legality + permit path</x:v>
      </x:c>
      <x:c r="B14" s="272" t="str">
        <x:v>Unconfirmed</x:v>
      </x:c>
      <x:c r="C14" s="200" t="str">
        <x:v>Confirm this parcel, operating model, permit availability and transfer rules.</x:v>
      </x:c>
      <x:c r="D14" s="200"/>
      <x:c r="E14" s="200" t="str">
        <x:v>Effective booked ADR</x:v>
      </x:c>
      <x:c r="F14" s="291" t="n">
        <x:f>IF(F16&gt;0,F18/F16,B20)</x:f>
        <x:v>275.00000000000006</x:v>
      </x:c>
      <x:c r="G14" s="200" t="str">
        <x:v>Room revenue / booked nights; base ADR if no bookings.</x:v>
      </x:c>
    </x:row>
    <x:row r="15" ht="28" customHeight="1">
      <x:c r="A15" s="200" t="str">
        <x:v>Financing / use approved</x:v>
      </x:c>
      <x:c r="B15" s="272" t="str">
        <x:v>Unconfirmed</x:v>
      </x:c>
      <x:c r="C15" s="200" t="str">
        <x:v>Lender approves the intended STR use; do not assume second-home terms.</x:v>
      </x:c>
      <x:c r="D15" s="200"/>
      <x:c r="E15" s="200" t="str">
        <x:v>Available nights</x:v>
      </x:c>
      <x:c r="F15" s="292" t="n">
        <x:f>'Seasonality'!F44</x:f>
        <x:v>360</x:v>
      </x:c>
      <x:c r="G15" s="200" t="str">
        <x:v>From the selected flat/monthly mode.</x:v>
      </x:c>
    </x:row>
    <x:row r="16" ht="28" customHeight="1">
      <x:c r="A16" s="200" t="str">
        <x:v>HOA / building approval</x:v>
      </x:c>
      <x:c r="B16" s="272" t="str">
        <x:v>Unconfirmed</x:v>
      </x:c>
      <x:c r="C16" s="200" t="str">
        <x:v>Yes means reviewed and allowed, including where no HOA exists.</x:v>
      </x:c>
      <x:c r="D16" s="200"/>
      <x:c r="E16" s="200" t="str">
        <x:v>Occupied nights</x:v>
      </x:c>
      <x:c r="F16" s="292" t="n">
        <x:f>'Seasonality'!G44</x:f>
        <x:v>198</x:v>
      </x:c>
      <x:c r="G16" s="200" t="str">
        <x:v>Expected occupied nights, not calendar nights.</x:v>
      </x:c>
    </x:row>
    <x:row r="17" ht="28" customHeight="1">
      <x:c r="A17" s="200" t="str">
        <x:v>Purchase price</x:v>
      </x:c>
      <x:c r="B17" s="274" t="n">
        <x:v>350000</x:v>
      </x:c>
      <x:c r="C17" s="200" t="str">
        <x:v>Contract price; obtain parcel-specific comparables.</x:v>
      </x:c>
      <x:c r="D17" s="200"/>
      <x:c r="E17" s="200" t="str">
        <x:v>Expected stays</x:v>
      </x:c>
      <x:c r="F17" s="292" t="n">
        <x:f>IF(B23&gt;0,F16/B23,0)</x:f>
        <x:v>66</x:v>
      </x:c>
      <x:c r="G17" s="200" t="str">
        <x:v>Fractional stays are expected-value estimates.</x:v>
      </x:c>
    </x:row>
    <x:row r="18" ht="28" customHeight="1">
      <x:c r="A18" s="200" t="str">
        <x:v>Down payment percent</x:v>
      </x:c>
      <x:c r="B18" s="275" t="n">
        <x:v>0.25</x:v>
      </x:c>
      <x:c r="C18" s="200" t="str">
        <x:v>Used when down-payment mode is Percent.</x:v>
      </x:c>
      <x:c r="D18" s="200"/>
      <x:c r="E18" s="200" t="str">
        <x:v>Room revenue</x:v>
      </x:c>
      <x:c r="F18" s="291" t="n">
        <x:f>'Seasonality'!H44</x:f>
        <x:v>54450.00000000001</x:v>
      </x:c>
      <x:c r="G18" s="200" t="str">
        <x:v>Excludes guest fees and pass-through taxes.</x:v>
      </x:c>
    </x:row>
    <x:row r="19" ht="28" customHeight="1">
      <x:c r="A19" s="200" t="str">
        <x:v>Revenue input mode</x:v>
      </x:c>
      <x:c r="B19" s="272" t="str">
        <x:v>Flat</x:v>
      </x:c>
      <x:c r="C19" s="200" t="str">
        <x:v>Monthly mode uses the editable monthly assumptions on Seasonality.</x:v>
      </x:c>
      <x:c r="D19" s="200"/>
      <x:c r="E19" s="200" t="str">
        <x:v>Cleaning fee revenue</x:v>
      </x:c>
      <x:c r="F19" s="291" t="n">
        <x:f>F17*B24</x:f>
        <x:v>9900</x:v>
      </x:c>
      <x:c r="G19" s="200" t="str">
        <x:v>Guest fee collection is not all profit.</x:v>
      </x:c>
    </x:row>
    <x:row r="20" ht="28" customHeight="1">
      <x:c r="A20" s="200" t="str">
        <x:v>Average daily rate</x:v>
      </x:c>
      <x:c r="B20" s="274" t="n">
        <x:v>275</x:v>
      </x:c>
      <x:c r="C20" s="200" t="str">
        <x:v>Booked room rate only. Exclude cleaning fees and lodging taxes.</x:v>
      </x:c>
      <x:c r="D20" s="200"/>
      <x:c r="E20" s="200" t="str">
        <x:v>Other guest fee revenue</x:v>
      </x:c>
      <x:c r="F20" s="291" t="n">
        <x:f>F17*B25</x:f>
        <x:v>0</x:v>
      </x:c>
      <x:c r="G20" s="200" t="str">
        <x:v>Per-stay fees only.</x:v>
      </x:c>
    </x:row>
    <x:row r="21" ht="28" customHeight="1">
      <x:c r="A21" s="200" t="str">
        <x:v>Occupancy</x:v>
      </x:c>
      <x:c r="B21" s="275" t="n">
        <x:v>0.55</x:v>
      </x:c>
      <x:c r="C21" s="200" t="str">
        <x:v>Booked nights / available nights. Not booked nights / all calendar days.</x:v>
      </x:c>
      <x:c r="D21" s="200"/>
      <x:c r="E21" s="200" t="str">
        <x:v>GROSS BOOKING REVENUE</x:v>
      </x:c>
      <x:c r="F21" s="291" t="n">
        <x:f>SUM(F18:F20)</x:f>
        <x:v>64350.00000000001</x:v>
      </x:c>
      <x:c r="G21" s="200" t="str">
        <x:v>Annual revenue before host expenses.</x:v>
      </x:c>
    </x:row>
    <x:row r="22" ht="28" customHeight="1">
      <x:c r="A22" s="200" t="str">
        <x:v>Annual rentable nights</x:v>
      </x:c>
      <x:c r="B22" s="273" t="n">
        <x:v>360</x:v>
      </x:c>
      <x:c r="C22" s="200" t="str">
        <x:v>Exclude personal use, maintenance and unavailable nights.</x:v>
      </x:c>
      <x:c r="D22" s="200"/>
      <x:c r="E22" s="200" t="str">
        <x:v>Platform fee expense</x:v>
      </x:c>
      <x:c r="F22" s="291" t="n">
        <x:f>F21*B26</x:f>
        <x:v>9974.250000000002</x:v>
      </x:c>
      <x:c r="G22" s="200" t="str">
        <x:v>Applied to room, cleaning and other guest fees.</x:v>
      </x:c>
    </x:row>
    <x:row r="23" ht="28" customHeight="1">
      <x:c r="A23" s="200" t="str">
        <x:v>Average stay (nights)</x:v>
      </x:c>
      <x:c r="B23" s="276" t="n">
        <x:v>3</x:v>
      </x:c>
      <x:c r="C23" s="200" t="str">
        <x:v>Expected stays = occupied nights / average stay; fractional stays are estimates.</x:v>
      </x:c>
      <x:c r="D23" s="200"/>
      <x:c r="E23" s="200" t="str">
        <x:v>Revenue after platform fees</x:v>
      </x:c>
      <x:c r="F23" s="291" t="n">
        <x:f>F21-F22</x:f>
        <x:v>54375.75000000001</x:v>
      </x:c>
      <x:c r="G23" s="200" t="str">
        <x:v>Not cash flow: operating costs still apply.</x:v>
      </x:c>
    </x:row>
    <x:row r="24" ht="28" customHeight="1">
      <x:c r="A24" s="200" t="str">
        <x:v>Cleaning fee per stay</x:v>
      </x:c>
      <x:c r="B24" s="274" t="n">
        <x:v>150</x:v>
      </x:c>
      <x:c r="C24" s="200" t="str">
        <x:v>Revenue charged to the guest; cleaning expense is entered separately.</x:v>
      </x:c>
      <x:c r="D24" s="200"/>
      <x:c r="E24" s="200" t="str">
        <x:v>Management expense</x:v>
      </x:c>
      <x:c r="F24" s="291" t="n">
        <x:f>IF(B28="Gross booking",F21,F18)*B27</x:f>
        <x:v>10890.000000000002</x:v>
      </x:c>
      <x:c r="G24" s="200" t="str">
        <x:v>Fee basis follows your selection.</x:v>
      </x:c>
    </x:row>
    <x:row r="25" ht="28" customHeight="1">
      <x:c r="A25" s="200" t="str">
        <x:v>Other guest revenue / stay</x:v>
      </x:c>
      <x:c r="B25" s="274" t="n">
        <x:v>0</x:v>
      </x:c>
      <x:c r="C25" s="200" t="str">
        <x:v>Pet / extra-person / other host fees; exclude taxes and guest service fees.</x:v>
      </x:c>
      <x:c r="D25" s="200"/>
      <x:c r="E25" s="200" t="str">
        <x:v>Cleaning expense</x:v>
      </x:c>
      <x:c r="F25" s="291" t="n">
        <x:f>F17*B55</x:f>
        <x:v>9900</x:v>
      </x:c>
      <x:c r="G25" s="200" t="str">
        <x:v>Per-stay cleaning and laundry.</x:v>
      </x:c>
    </x:row>
    <x:row r="26" ht="28" customHeight="1">
      <x:c r="A26" s="200" t="str">
        <x:v>Platform fee</x:v>
      </x:c>
      <x:c r="B26" s="275" t="n">
        <x:v>0.155</x:v>
      </x:c>
      <x:c r="C26" s="200" t="str">
        <x:v>15.5% example single fee. Confirm your actual channel/PMS fee structure.</x:v>
      </x:c>
      <x:c r="D26" s="200"/>
      <x:c r="E26" s="200" t="str">
        <x:v>Consumables expense</x:v>
      </x:c>
      <x:c r="F26" s="291" t="n">
        <x:f>F16*B56</x:f>
        <x:v>792</x:v>
      </x:c>
      <x:c r="G26" s="200" t="str">
        <x:v>Per-occupied-night usage.</x:v>
      </x:c>
    </x:row>
    <x:row r="27" ht="28" customHeight="1">
      <x:c r="A27" s="200" t="str">
        <x:v>Management fee</x:v>
      </x:c>
      <x:c r="B27" s="275" t="n">
        <x:v>0.2</x:v>
      </x:c>
      <x:c r="C27" s="200" t="str">
        <x:v>Set a market replacement cost even when you plan to self-manage.</x:v>
      </x:c>
      <x:c r="D27" s="200"/>
      <x:c r="E27" s="200" t="str">
        <x:v>Variable repair allowance</x:v>
      </x:c>
      <x:c r="F27" s="291" t="n">
        <x:f>F18*B57</x:f>
        <x:v>1633.5000000000002</x:v>
      </x:c>
      <x:c r="G27" s="200" t="str">
        <x:v>Additional to fixed monthly maintenance.</x:v>
      </x:c>
    </x:row>
    <x:row r="28" ht="28" customHeight="1">
      <x:c r="A28" s="200" t="str">
        <x:v>Management fee basis</x:v>
      </x:c>
      <x:c r="B28" s="272" t="str">
        <x:v>Room only</x:v>
      </x:c>
      <x:c r="C28" s="200" t="str">
        <x:v>Gross booking includes cleaning and other guest fees.</x:v>
      </x:c>
      <x:c r="D28" s="200"/>
      <x:c r="E28" s="200" t="str">
        <x:v>Replacement / CapEx reserve</x:v>
      </x:c>
      <x:c r="F28" s="291" t="n">
        <x:f>F18*B58</x:f>
        <x:v>2178.0000000000005</x:v>
      </x:c>
      <x:c r="G28" s="200" t="str">
        <x:v>Reserved cash, not a tax deduction when merely set aside.</x:v>
      </x:c>
    </x:row>
    <x:row r="29" ht="28" customHeight="1">
      <x:c r="A29" s="200"/>
      <x:c r="B29" s="277"/>
      <x:c r="C29" s="200"/>
      <x:c r="D29" s="200"/>
      <x:c r="E29" s="200" t="str">
        <x:v>Host-absorbed lodging taxes</x:v>
      </x:c>
      <x:c r="F29" s="291" t="n">
        <x:f>F21*B59</x:f>
        <x:v>0</x:v>
      </x:c>
      <x:c r="G29" s="200" t="str">
        <x:v>Only taxes borne by the host.</x:v>
      </x:c>
    </x:row>
    <x:row r="30" ht="28" customHeight="1">
      <x:c r="A30" s="305" t="str">
        <x:v>02 / ACQUISITION + FINANCING</x:v>
      </x:c>
      <x:c r="B30" s="305" t="str">
        <x:v>02 / ACQUISITION + FINANCING</x:v>
      </x:c>
      <x:c r="C30" s="305" t="str">
        <x:v>02 / ACQUISITION + FINANCING</x:v>
      </x:c>
      <x:c r="D30" s="200"/>
      <x:c r="E30" s="305" t="str">
        <x:v>Fixed operating costs</x:v>
      </x:c>
      <x:c r="F30" s="309" t="n">
        <x:f>SUM(B44:B54)*12</x:f>
        <x:v>17100</x:v>
      </x:c>
      <x:c r="G30" s="305" t="str">
        <x:v>Property taxes and insurance included.</x:v>
      </x:c>
    </x:row>
    <x:row r="31" ht="28" customHeight="1">
      <x:c r="A31" s="200" t="str">
        <x:v>Down-payment input mode</x:v>
      </x:c>
      <x:c r="B31" s="272" t="str">
        <x:v>Percent</x:v>
      </x:c>
      <x:c r="C31" s="200" t="str">
        <x:v>Choose Percent or Dollars, not both.</x:v>
      </x:c>
      <x:c r="D31" s="200"/>
      <x:c r="E31" s="200" t="str">
        <x:v>Cash operating outflows</x:v>
      </x:c>
      <x:c r="F31" s="291" t="n">
        <x:f>F22+SUM(F24:F30)</x:f>
        <x:v>52467.75</x:v>
      </x:c>
      <x:c r="G31" s="200" t="str">
        <x:v>Includes the CapEx reserve for cash-flow purposes.</x:v>
      </x:c>
    </x:row>
    <x:row r="32" ht="28" customHeight="1">
      <x:c r="A32" s="200" t="str">
        <x:v>Down payment dollars</x:v>
      </x:c>
      <x:c r="B32" s="274" t="n">
        <x:v>87500</x:v>
      </x:c>
      <x:c r="C32" s="200" t="str">
        <x:v>Used only in Dollars mode.</x:v>
      </x:c>
      <x:c r="D32" s="200"/>
      <x:c r="E32" s="200" t="str">
        <x:v>NET OPERATING INCOME</x:v>
      </x:c>
      <x:c r="F32" s="291" t="n">
        <x:f>F21-F31+F28</x:f>
        <x:v>14060.250000000007</x:v>
      </x:c>
      <x:c r="G32" s="200" t="str">
        <x:v>Before debt, depreciation, income tax and CapEx reserve.</x:v>
      </x:c>
    </x:row>
    <x:row r="33" ht="28" customHeight="1">
      <x:c r="A33" s="200" t="str">
        <x:v>Closing costs</x:v>
      </x:c>
      <x:c r="B33" s="274" t="n">
        <x:v>10500</x:v>
      </x:c>
      <x:c r="C33" s="200" t="str">
        <x:v>Cash closing costs; tax basis treatment is reviewed separately.</x:v>
      </x:c>
      <x:c r="D33" s="200"/>
      <x:c r="E33" s="200" t="str">
        <x:v>Annual debt service</x:v>
      </x:c>
      <x:c r="F33" s="291" t="n">
        <x:f>SUM('Loan Amortization'!D13:D24)</x:f>
        <x:v>20430.840041898777</x:v>
      </x:c>
      <x:c r="G33" s="200" t="str">
        <x:v>First 12 payments.</x:v>
      </x:c>
    </x:row>
    <x:row r="34" ht="28" customHeight="1">
      <x:c r="A34" s="200" t="str">
        <x:v>Annual interest rate</x:v>
      </x:c>
      <x:c r="B34" s="275" t="n">
        <x:v>0.0675</x:v>
      </x:c>
      <x:c r="C34" s="200" t="str">
        <x:v>Illustrative fixed rate, not a current lender quote.</x:v>
      </x:c>
      <x:c r="D34" s="200"/>
      <x:c r="E34" s="200" t="str">
        <x:v>ANNUAL CASH FLOW</x:v>
      </x:c>
      <x:c r="F34" s="291" t="n">
        <x:f>F32-F33-F28</x:f>
        <x:v>-8548.59004189877</x:v>
      </x:c>
      <x:c r="G34" s="200" t="str">
        <x:v>NOI less P&amp;I and CapEx reserve.</x:v>
      </x:c>
    </x:row>
    <x:row r="35" ht="28" customHeight="1">
      <x:c r="A35" s="200" t="str">
        <x:v>Amortization term (years)</x:v>
      </x:c>
      <x:c r="B35" s="276" t="n">
        <x:v>30</x:v>
      </x:c>
      <x:c r="C35" s="200" t="str">
        <x:v>Fully amortizing loan; no balloon or interest-only feature.</x:v>
      </x:c>
      <x:c r="D35" s="200"/>
      <x:c r="E35" s="200" t="str">
        <x:v>Monthly cash flow</x:v>
      </x:c>
      <x:c r="F35" s="291" t="n">
        <x:f>F34/12</x:f>
        <x:v>-712.3825034915641</x:v>
      </x:c>
      <x:c r="G35" s="200" t="str">
        <x:v>Annual average; see Seasonality for monthly pattern.</x:v>
      </x:c>
    </x:row>
    <x:row r="36" ht="28" customHeight="1">
      <x:c r="A36" s="200" t="str">
        <x:v>Renovation budget</x:v>
      </x:c>
      <x:c r="B36" s="274" t="n">
        <x:v>10000</x:v>
      </x:c>
      <x:c r="C36" s="200" t="str">
        <x:v>Cash work needed before launch.</x:v>
      </x:c>
      <x:c r="D36" s="200"/>
      <x:c r="E36" s="200" t="str">
        <x:v>Actual down payment</x:v>
      </x:c>
      <x:c r="F36" s="291" t="n">
        <x:f>IF(B31="Dollars",B32,B17*B18)</x:f>
        <x:v>87500</x:v>
      </x:c>
      <x:c r="G36" s="200" t="str">
        <x:v>Only one down-payment method is active.</x:v>
      </x:c>
    </x:row>
    <x:row r="37" ht="28" customHeight="1">
      <x:c r="A37" s="200" t="str">
        <x:v>Furniture / setup</x:v>
      </x:c>
      <x:c r="B37" s="274" t="n">
        <x:v>15000</x:v>
      </x:c>
      <x:c r="C37" s="200" t="str">
        <x:v>Separately tracked from building basis in the tax estimate.</x:v>
      </x:c>
      <x:c r="D37" s="200"/>
      <x:c r="E37" s="200" t="str">
        <x:v>Loan amount</x:v>
      </x:c>
      <x:c r="F37" s="291" t="n">
        <x:f>MAX(0,B17-F36)</x:f>
        <x:v>262500</x:v>
      </x:c>
      <x:c r="G37" s="200" t="str">
        <x:v>Cash purchase when loan amount is zero.</x:v>
      </x:c>
    </x:row>
    <x:row r="38" ht="28" customHeight="1">
      <x:c r="A38" s="200" t="str">
        <x:v>Initial cash reserves</x:v>
      </x:c>
      <x:c r="B38" s="274" t="n">
        <x:v>15000</x:v>
      </x:c>
      <x:c r="C38" s="200" t="str">
        <x:v>Liquidity buffer, not included in NOI.</x:v>
      </x:c>
      <x:c r="D38" s="200"/>
      <x:c r="E38" s="200" t="str">
        <x:v>Monthly mortgage P&amp;I</x:v>
      </x:c>
      <x:c r="F38" s="291" t="n">
        <x:f>IF(F37=0,0,IF(B35&lt;=0,0,IF(B34=0,F37/(B35*12),-PMT(B34/12,B35*12,F37))))</x:f>
        <x:v>1702.570003491565</x:v>
      </x:c>
      <x:c r="G38" s="200" t="str">
        <x:v>No escrow, interest-only period, balloon or refinancing.</x:v>
      </x:c>
    </x:row>
    <x:row r="39" ht="28" customHeight="1">
      <x:c r="A39" s="200" t="str">
        <x:v>Other acquisition costs</x:v>
      </x:c>
      <x:c r="B39" s="274" t="n">
        <x:v>2000</x:v>
      </x:c>
      <x:c r="C39" s="200" t="str">
        <x:v>Appraisal, due diligence, travel and other outlays.</x:v>
      </x:c>
      <x:c r="D39" s="200"/>
      <x:c r="E39" s="200" t="str">
        <x:v>TOTAL INITIAL CASH</x:v>
      </x:c>
      <x:c r="F39" s="291" t="n">
        <x:f>F36+B33+SUM(B36:B41)</x:f>
        <x:v>140500</x:v>
      </x:c>
      <x:c r="G39" s="200" t="str">
        <x:v>Includes renovations, furniture, closing costs and reserves.</x:v>
      </x:c>
    </x:row>
    <x:row r="40" ht="28" customHeight="1">
      <x:c r="A40" s="200" t="str">
        <x:v>Opening permits / licenses</x:v>
      </x:c>
      <x:c r="B40" s="274" t="n">
        <x:v>500</x:v>
      </x:c>
      <x:c r="C40" s="200" t="str">
        <x:v>Initial fees; recurring costs are entered below.</x:v>
      </x:c>
      <x:c r="D40" s="200"/>
      <x:c r="E40" s="200" t="str">
        <x:v>Cap rate on purchase price</x:v>
      </x:c>
      <x:c r="F40" s="288" t="n">
        <x:f>IF(B17&gt;0,F32/B17,"N/M")</x:f>
        <x:v>0.04017214285714288</x:v>
      </x:c>
      <x:c r="G40" s="200" t="str">
        <x:v>Unlevered NOI / purchase price, not cash-on-cash.</x:v>
      </x:c>
    </x:row>
    <x:row r="41" ht="28" customHeight="1">
      <x:c r="A41" s="200" t="str">
        <x:v>Additional initial investment</x:v>
      </x:c>
      <x:c r="B41" s="274" t="n">
        <x:v>0</x:v>
      </x:c>
      <x:c r="C41" s="200" t="str">
        <x:v>Other initial cash; avoid duplicate entries.</x:v>
      </x:c>
      <x:c r="D41" s="200"/>
      <x:c r="E41" s="200" t="str">
        <x:v>Cash-on-cash return</x:v>
      </x:c>
      <x:c r="F41" s="288" t="n">
        <x:f>IF(F39&gt;0,F34/F39,"N/M")</x:f>
        <x:v>-0.06084405723771366</x:v>
      </x:c>
      <x:c r="G41" s="200" t="str">
        <x:v>After debt service and CapEx reserve.</x:v>
      </x:c>
    </x:row>
    <x:row r="42" ht="28" customHeight="1">
      <x:c r="A42" s="200"/>
      <x:c r="B42" s="277"/>
      <x:c r="C42" s="200"/>
      <x:c r="D42" s="200"/>
      <x:c r="E42" s="200" t="str">
        <x:v>DSCR</x:v>
      </x:c>
      <x:c r="F42" s="293" t="n">
        <x:f>IF(F33&gt;0,F32/F33,"N/M")</x:f>
        <x:v>0.6881875620956256</x:v>
      </x:c>
      <x:c r="G42" s="200" t="str">
        <x:v>N/M for all-cash; lender underwriting may differ.</x:v>
      </x:c>
    </x:row>
    <x:row r="43" ht="28" customHeight="1">
      <x:c r="A43" s="305" t="str">
        <x:v>03 / MONTHLY + VARIABLE OPERATIONS</x:v>
      </x:c>
      <x:c r="B43" s="305" t="str">
        <x:v>03 / MONTHLY + VARIABLE OPERATIONS</x:v>
      </x:c>
      <x:c r="C43" s="305" t="str">
        <x:v>03 / MONTHLY + VARIABLE OPERATIONS</x:v>
      </x:c>
      <x:c r="D43" s="200"/>
      <x:c r="E43" s="305" t="str">
        <x:v>Coverage after CapEx</x:v>
      </x:c>
      <x:c r="F43" s="315" t="n">
        <x:f>IF(F33&gt;0,(F32-F28)/F33,"N/M")</x:f>
        <x:v>0.5815840159108655</x:v>
      </x:c>
      <x:c r="G43" s="305" t="str">
        <x:v>Cash coverage is lower than NOI-based DSCR.</x:v>
      </x:c>
    </x:row>
    <x:row r="44" ht="28" customHeight="1">
      <x:c r="A44" s="200" t="str">
        <x:v>Utilities / month</x:v>
      </x:c>
      <x:c r="B44" s="274" t="n">
        <x:v>350</x:v>
      </x:c>
      <x:c r="C44" s="200" t="str">
        <x:v>Electricity, gas, water and trash.</x:v>
      </x:c>
      <x:c r="D44" s="200"/>
      <x:c r="E44" s="200" t="str">
        <x:v>Year 1 principal repaid</x:v>
      </x:c>
      <x:c r="F44" s="291" t="n">
        <x:f>SUM('Loan Amortization'!F13:F24)</x:f>
        <x:v>2797.588643175707</x:v>
      </x:c>
      <x:c r="G44" s="200" t="str">
        <x:v>Equity from scheduled amortization; not spendable cash.</x:v>
      </x:c>
    </x:row>
    <x:row r="45" ht="28" customHeight="1">
      <x:c r="A45" s="200" t="str">
        <x:v>Internet / month</x:v>
      </x:c>
      <x:c r="B45" s="274" t="n">
        <x:v>75</x:v>
      </x:c>
      <x:c r="C45" s="200" t="str">
        <x:v>Internet and any required backup.</x:v>
      </x:c>
      <x:c r="D45" s="200"/>
      <x:c r="E45" s="200" t="str">
        <x:v>Year 1 interest</x:v>
      </x:c>
      <x:c r="F45" s="291" t="n">
        <x:f>SUM('Loan Amortization'!E13:E24)</x:f>
        <x:v>17633.25139872307</x:v>
      </x:c>
      <x:c r="G45" s="200" t="str">
        <x:v>Does not include loan-fee amortization.</x:v>
      </x:c>
    </x:row>
    <x:row r="46" ht="28" customHeight="1">
      <x:c r="A46" s="200" t="str">
        <x:v>Insurance / month</x:v>
      </x:c>
      <x:c r="B46" s="274" t="n">
        <x:v>225</x:v>
      </x:c>
      <x:c r="C46" s="200" t="str">
        <x:v>Obtain STR, flood/wind/fire and liability quotes as needed.</x:v>
      </x:c>
      <x:c r="D46" s="200"/>
      <x:c r="E46" s="200" t="str">
        <x:v>Loan balance after 12 months</x:v>
      </x:c>
      <x:c r="F46" s="291" t="n">
        <x:f>'Loan Amortization'!G24</x:f>
        <x:v>259702.4113568242</x:v>
      </x:c>
      <x:c r="G46" s="200" t="str">
        <x:v>Or zero when the loan has been repaid.</x:v>
      </x:c>
    </x:row>
    <x:row r="47" ht="28" customHeight="1">
      <x:c r="A47" s="200" t="str">
        <x:v>HOA / month</x:v>
      </x:c>
      <x:c r="B47" s="274" t="n">
        <x:v>0</x:v>
      </x:c>
      <x:c r="C47" s="200" t="str">
        <x:v>Include dues and expected special assessments separately.</x:v>
      </x:c>
      <x:c r="D47" s="200"/>
      <x:c r="E47" s="200" t="str">
        <x:v>Room contribution coefficient</x:v>
      </x:c>
      <x:c r="F47" s="288" t="n">
        <x:f>1-B26-B27-B57-B58-B59</x:f>
        <x:v>0.575</x:v>
      </x:c>
      <x:c r="G47" s="200" t="str">
        <x:v>Includes CapEx reserve for cash break-even.</x:v>
      </x:c>
    </x:row>
    <x:row r="48" ht="28" customHeight="1">
      <x:c r="A48" s="200" t="str">
        <x:v>Property taxes / month</x:v>
      </x:c>
      <x:c r="B48" s="274" t="n">
        <x:v>350</x:v>
      </x:c>
      <x:c r="C48" s="200" t="str">
        <x:v>Use reassessed/post-purchase estimate, not seller exemptions.</x:v>
      </x:c>
      <x:c r="D48" s="200"/>
      <x:c r="E48" s="200" t="str">
        <x:v>Ancillary contribution / night</x:v>
      </x:c>
      <x:c r="F48" s="291" t="n">
        <x:f>IF(B23&gt;0,(B24+B25)/B23*(1-B26-IF(B28="Gross booking",B27,0)-B59)-B55/B23-B56,0)</x:f>
        <x:v>-11.75</x:v>
      </x:c>
      <x:c r="G48" s="200" t="str">
        <x:v>Net guest fees less turnover and consumables.</x:v>
      </x:c>
    </x:row>
    <x:row r="49" ht="28" customHeight="1">
      <x:c r="A49" s="200" t="str">
        <x:v>Software / month</x:v>
      </x:c>
      <x:c r="B49" s="274" t="n">
        <x:v>75</x:v>
      </x:c>
      <x:c r="C49" s="200" t="str">
        <x:v>PMS, pricing and subscriptions.</x:v>
      </x:c>
      <x:c r="D49" s="200"/>
      <x:c r="E49" s="200" t="str">
        <x:v>Total contribution / occupied night</x:v>
      </x:c>
      <x:c r="F49" s="291" t="n">
        <x:f>F14*F47+F48</x:f>
        <x:v>146.37500000000003</x:v>
      </x:c>
      <x:c r="G49" s="200" t="str">
        <x:v>Contribution at the weighted booked ADR.</x:v>
      </x:c>
    </x:row>
    <x:row r="50" ht="28" customHeight="1">
      <x:c r="A50" s="200" t="str">
        <x:v>Licensing / month</x:v>
      </x:c>
      <x:c r="B50" s="274" t="n">
        <x:v>50</x:v>
      </x:c>
      <x:c r="C50" s="200" t="str">
        <x:v>Annual recurring fees divided by 12.</x:v>
      </x:c>
      <x:c r="D50" s="200"/>
      <x:c r="E50" s="200" t="str">
        <x:v>BREAK-EVEN OCCUPANCY</x:v>
      </x:c>
      <x:c r="F50" s="288" t="n">
        <x:f>IF(AND(F15&gt;0,F49&gt;0),(F30+F33)/(F15*F49),"N/M")</x:f>
        <x:v>0.7122277263857817</x:v>
      </x:c>
      <x:c r="G50" s="200" t="str">
        <x:v>Covers fixed expenses, P&amp;I and CapEx reserve.</x:v>
      </x:c>
    </x:row>
    <x:row r="51" ht="28" customHeight="1">
      <x:c r="A51" s="200" t="str">
        <x:v>Lawn / pool / snow / month</x:v>
      </x:c>
      <x:c r="B51" s="274" t="n">
        <x:v>100</x:v>
      </x:c>
      <x:c r="C51" s="200" t="str">
        <x:v>Average service cost; seasonal peaks require liquidity.</x:v>
      </x:c>
      <x:c r="D51" s="200"/>
      <x:c r="E51" s="200" t="str">
        <x:v>BREAK-EVEN ADR</x:v>
      </x:c>
      <x:c r="F51" s="291" t="n">
        <x:f>IF(AND(F16&gt;0,F47&gt;0),MAX(0,((F30+F33)/F16-F48)/F47),"N/M")</x:f>
        <x:v>350.0864298805338</x:v>
      </x:c>
      <x:c r="G51" s="200" t="str">
        <x:v>Holds occupied nights and average stay constant.</x:v>
      </x:c>
    </x:row>
    <x:row r="52" ht="28" customHeight="1">
      <x:c r="A52" s="200" t="str">
        <x:v>Fixed maintenance / month</x:v>
      </x:c>
      <x:c r="B52" s="274" t="n">
        <x:v>100</x:v>
      </x:c>
      <x:c r="C52" s="200" t="str">
        <x:v>Base maintenance spending, not capital improvements.</x:v>
      </x:c>
      <x:c r="D52" s="200"/>
      <x:c r="E52" s="200" t="str">
        <x:v>Occupancy cushion</x:v>
      </x:c>
      <x:c r="F52" s="288" t="n">
        <x:f>IF(ISNUMBER(F50),F13-F50,"N/M")</x:f>
        <x:v>-0.16222772638578165</x:v>
      </x:c>
      <x:c r="G52" s="200" t="str">
        <x:v>Percentage points above cash break-even.</x:v>
      </x:c>
    </x:row>
    <x:row r="53" ht="28" customHeight="1">
      <x:c r="A53" s="200" t="str">
        <x:v>Fixed VA / labor / month</x:v>
      </x:c>
      <x:c r="B53" s="274" t="n">
        <x:v>0</x:v>
      </x:c>
      <x:c r="C53" s="200" t="str">
        <x:v>Only labor not covered by management fee.</x:v>
      </x:c>
      <x:c r="D53" s="200"/>
      <x:c r="E53" s="200" t="str">
        <x:v>Reserve / fixed carry (months)</x:v>
      </x:c>
      <x:c r="F53" s="292" t="n">
        <x:f>IF(F30+F33&gt;0,B38/((F30+F33)/12),"N/M")</x:f>
        <x:v>4.796055718418536</x:v>
      </x:c>
      <x:c r="G53" s="200" t="str">
        <x:v>Uses fixed operations plus first-year average debt service.</x:v>
      </x:c>
    </x:row>
    <x:row r="54" ht="28" customHeight="1">
      <x:c r="A54" s="200" t="str">
        <x:v>Miscellaneous fixed / month</x:v>
      </x:c>
      <x:c r="B54" s="274" t="n">
        <x:v>100</x:v>
      </x:c>
      <x:c r="C54" s="200" t="str">
        <x:v>Other recurring costs, excluding income tax.</x:v>
      </x:c>
      <x:c r="D54" s="200"/>
      <x:c r="E54" s="200"/>
      <x:c r="F54" s="290"/>
      <x:c r="G54" s="200"/>
    </x:row>
    <x:row r="55" ht="28" customHeight="1">
      <x:c r="A55" s="200" t="str">
        <x:v>Cleaning cost / stay</x:v>
      </x:c>
      <x:c r="B55" s="274" t="n">
        <x:v>150</x:v>
      </x:c>
      <x:c r="C55" s="200" t="str">
        <x:v>All-in turnover cost including laundry.</x:v>
      </x:c>
      <x:c r="D55" s="200"/>
      <x:c r="E55" s="200" t="str">
        <x:v>Input check</x:v>
      </x:c>
      <x:c r="F55" s="289" t="str">
        <x:f>IF(OR(B17&lt;=0,F36&gt;B17,F36&lt;0,B35&lt;1,B23&lt;1,B21&lt;0,B21&gt;1,B18&lt;0,B18&gt;1,B22&lt;0,B22&gt;365,MIN(B20,B24:B27,B32:B41,B44:B59)&lt;0,F13&gt;1,F15&gt;365),"CHECK INPUTS","OK")</x:f>
        <x:v>OK</x:v>
      </x:c>
      <x:c r="G55" s="200" t="str">
        <x:v>No debt terms beyond this fixed-rate model are represented.</x:v>
      </x:c>
    </x:row>
    <x:row r="56" ht="28" customHeight="1">
      <x:c r="A56" s="200" t="str">
        <x:v>Consumables / occupied night</x:v>
      </x:c>
      <x:c r="B56" s="274" t="n">
        <x:v>4</x:v>
      </x:c>
      <x:c r="C56" s="200" t="str">
        <x:v>Usage-linked consumables.</x:v>
      </x:c>
      <x:c r="D56" s="200"/>
      <x:c r="E56" s="200" t="str">
        <x:v>Permission gate</x:v>
      </x:c>
      <x:c r="F56" s="289" t="str">
        <x:f>IF(COUNTIF(B14:B16,"No")&gt;0,"STOP",IF(COUNTIF(B14:B16,"Yes")=3,"CONFIRMED BY USER","HOLD"))</x:f>
        <x:v>HOLD</x:v>
      </x:c>
      <x:c r="G56" s="200" t="str">
        <x:v>Confirm zoning, HOA and lender use restrictions.</x:v>
      </x:c>
    </x:row>
    <x:row r="57" ht="28" customHeight="1">
      <x:c r="A57" s="200" t="str">
        <x:v>Variable repairs / room revenue</x:v>
      </x:c>
      <x:c r="B57" s="275" t="n">
        <x:v>0.03</x:v>
      </x:c>
      <x:c r="C57" s="200" t="str">
        <x:v>Additional repair allowance, included in NOI.</x:v>
      </x:c>
      <x:c r="D57" s="200"/>
      <x:c r="E57" s="200" t="str">
        <x:v>Financial screen</x:v>
      </x:c>
      <x:c r="F57" s="289" t="str">
        <x:f>IF(AND(F55="OK",F35&gt;=B62,ISNUMBER(F41),F41&gt;=B63,OR(F33=0,AND(ISNUMBER(F42),F42&gt;=B64)),ISNUMBER(F50),F50&lt;=B65,ISNUMBER(F52),F52&gt;=B66,ISNUMBER(F53),F53&gt;=B67),"MEETS YOUR TARGETS","REVIEW / REPRICE")</x:f>
        <x:v>REVIEW / REPRICE</x:v>
      </x:c>
      <x:c r="G57" s="200" t="str">
        <x:v>No tax benefit or appreciation is needed to pass.</x:v>
      </x:c>
    </x:row>
    <x:row r="58" ht="28" customHeight="1">
      <x:c r="A58" s="200" t="str">
        <x:v>CapEx reserve / room revenue</x:v>
      </x:c>
      <x:c r="B58" s="275" t="n">
        <x:v>0.04</x:v>
      </x:c>
      <x:c r="C58" s="200" t="str">
        <x:v>Excluded from NOI; deducted in distributable cash flow.</x:v>
      </x:c>
      <x:c r="D58" s="200"/>
      <x:c r="E58" s="200" t="str">
        <x:v>OVERALL SCREEN</x:v>
      </x:c>
      <x:c r="F58" s="289" t="str">
        <x:f>IF(F55&lt;&gt;"OK","FIX INPUTS",IF(F56="STOP","STOP: PERMISSION DENIED",IF(F56="HOLD","HOLD: PERMISSIONS",F57)))</x:f>
        <x:v>HOLD: PERMISSIONS</x:v>
      </x:c>
      <x:c r="G58" s="200" t="str">
        <x:v>Confirm all facts before risking capital.</x:v>
      </x:c>
    </x:row>
    <x:row r="59" ht="28" customHeight="1">
      <x:c r="A59" s="200" t="str">
        <x:v>Host-absorbed lodging tax</x:v>
      </x:c>
      <x:c r="B59" s="275" t="n">
        <x:v>0</x:v>
      </x:c>
      <x:c r="C59" s="200" t="str">
        <x:v>Of gross booking; guest pass-through lodging tax is excluded.</x:v>
      </x:c>
      <x:c r="D59" s="200"/>
      <x:c r="E59" s="200" t="str">
        <x:v>Five-year cumulative cash flow</x:v>
      </x:c>
      <x:c r="F59" s="291" t="n">
        <x:f>'Five Year Projection'!G19</x:f>
        <x:v>-51334.452641013864</x:v>
      </x:c>
      <x:c r="G59" s="200" t="str">
        <x:v>Before sale proceeds or taxes; no tax benefits assumed.</x:v>
      </x:c>
    </x:row>
    <x:row r="60" ht="28" customHeight="1">
      <x:c r="A60" s="200"/>
      <x:c r="B60" s="277"/>
      <x:c r="C60" s="200"/>
      <x:c r="D60" s="200"/>
      <x:c r="E60" s="200" t="str">
        <x:v>Five-year principal buildup</x:v>
      </x:c>
      <x:c r="F60" s="291" t="n">
        <x:f>SUM('Loan Amortization'!F13:F72)</x:f>
        <x:v>16076.26246464006</x:v>
      </x:c>
      <x:c r="G60" s="200" t="str">
        <x:v>Separate from operating cash flow.</x:v>
      </x:c>
    </x:row>
    <x:row r="61" ht="25" customHeight="1">
      <x:c r="A61" s="199" t="str">
        <x:v>04 / YOUR SCREENING TARGETS</x:v>
      </x:c>
      <x:c r="B61" s="277" t="str">
        <x:v>04 / YOUR SCREENING TARGETS</x:v>
      </x:c>
      <x:c r="C61" s="199" t="str">
        <x:v>04 / YOUR SCREENING TARGETS</x:v>
      </x:c>
      <x:c r="D61" s="200"/>
      <x:c r="E61" s="200"/>
      <x:c r="F61" s="290"/>
      <x:c r="G61" s="200"/>
    </x:row>
    <x:row r="62" ht="28" customHeight="1">
      <x:c r="A62" s="305" t="str">
        <x:v>Minimum monthly cash flow</x:v>
      </x:c>
      <x:c r="B62" s="309" t="n">
        <x:v>500</x:v>
      </x:c>
      <x:c r="C62" s="305" t="str">
        <x:v>After P&amp;I and CapEx reserve.</x:v>
      </x:c>
      <x:c r="D62" s="200"/>
      <x:c r="E62" s="305"/>
      <x:c r="F62" s="305"/>
      <x:c r="G62" s="305"/>
    </x:row>
    <x:row r="63" ht="28" customHeight="1">
      <x:c r="A63" s="200" t="str">
        <x:v>Minimum cash-on-cash</x:v>
      </x:c>
      <x:c r="B63" s="275" t="n">
        <x:v>0.08</x:v>
      </x:c>
      <x:c r="C63" s="200" t="str">
        <x:v>On all initial cash, including reserves.</x:v>
      </x:c>
      <x:c r="D63" s="200"/>
      <x:c r="E63" s="200"/>
      <x:c r="F63" s="290"/>
      <x:c r="G63" s="200"/>
    </x:row>
    <x:row r="64" ht="28" customHeight="1">
      <x:c r="A64" s="200" t="str">
        <x:v>Minimum DSCR</x:v>
      </x:c>
      <x:c r="B64" s="278" t="n">
        <x:v>1.25</x:v>
      </x:c>
      <x:c r="C64" s="200" t="str">
        <x:v>NOI / debt service; lender definitions may differ.</x:v>
      </x:c>
      <x:c r="D64" s="200"/>
      <x:c r="E64" s="200"/>
      <x:c r="F64" s="290"/>
      <x:c r="G64" s="200"/>
    </x:row>
    <x:row r="65" ht="28" customHeight="1">
      <x:c r="A65" s="200" t="str">
        <x:v>Maximum break-even occupancy</x:v>
      </x:c>
      <x:c r="B65" s="275" t="n">
        <x:v>0.55</x:v>
      </x:c>
      <x:c r="C65" s="200" t="str">
        <x:v>After debt service and CapEx reserve.</x:v>
      </x:c>
      <x:c r="D65" s="200"/>
      <x:c r="E65" s="200"/>
      <x:c r="F65" s="290"/>
      <x:c r="G65" s="200"/>
    </x:row>
    <x:row r="66" ht="28" customHeight="1">
      <x:c r="A66" s="200" t="str">
        <x:v>Minimum occupancy cushion</x:v>
      </x:c>
      <x:c r="B66" s="275" t="n">
        <x:v>0.1</x:v>
      </x:c>
      <x:c r="C66" s="200" t="str">
        <x:v>Base occupancy minus break-even, in percentage points.</x:v>
      </x:c>
      <x:c r="D66" s="200"/>
      <x:c r="E66" s="200"/>
      <x:c r="F66" s="290"/>
      <x:c r="G66" s="200"/>
    </x:row>
    <x:row r="67" ht="28" customHeight="1">
      <x:c r="A67" s="200" t="str">
        <x:v>Minimum reserve (fixed months)</x:v>
      </x:c>
      <x:c r="B67" s="276" t="n">
        <x:v>6</x:v>
      </x:c>
      <x:c r="C67" s="200" t="str">
        <x:v>Fixed operating costs plus scheduled P&amp;I.</x:v>
      </x:c>
      <x:c r="D67" s="200"/>
      <x:c r="E67" s="200"/>
      <x:c r="F67" s="290"/>
      <x:c r="G67" s="200"/>
    </x:row>
    <x:row r="68" ht="27" customHeight="1">
      <x:c r="A68" s="200"/>
      <x:c r="B68" s="277"/>
      <x:c r="C68" s="200"/>
      <x:c r="D68" s="200"/>
      <x:c r="E68" s="200"/>
      <x:c r="F68" s="290"/>
      <x:c r="G68" s="200"/>
    </x:row>
    <x:row r="69" ht="25" customHeight="1">
      <x:c r="A69" s="199" t="str">
        <x:v>05 / FIVE-YEAR ASSUMPTIONS</x:v>
      </x:c>
      <x:c r="B69" s="277" t="str">
        <x:v>05 / FIVE-YEAR ASSUMPTIONS</x:v>
      </x:c>
      <x:c r="C69" s="199" t="str">
        <x:v>05 / FIVE-YEAR ASSUMPTIONS</x:v>
      </x:c>
      <x:c r="D69" s="200"/>
      <x:c r="E69" s="200"/>
      <x:c r="F69" s="290"/>
      <x:c r="G69" s="200"/>
    </x:row>
    <x:row r="70" ht="28" customHeight="1">
      <x:c r="A70" s="305" t="str">
        <x:v>Room / guest-fee growth</x:v>
      </x:c>
      <x:c r="B70" s="311" t="n">
        <x:v>0</x:v>
      </x:c>
      <x:c r="C70" s="305" t="str">
        <x:v>Annual change; occupancy and available nights held constant.</x:v>
      </x:c>
      <x:c r="D70" s="200"/>
      <x:c r="E70" s="305"/>
      <x:c r="F70" s="305"/>
      <x:c r="G70" s="305"/>
    </x:row>
    <x:row r="71" ht="28" customHeight="1">
      <x:c r="A71" s="200" t="str">
        <x:v>Fixed operating-cost growth</x:v>
      </x:c>
      <x:c r="B71" s="275" t="n">
        <x:v>0.03</x:v>
      </x:c>
      <x:c r="C71" s="200" t="str">
        <x:v>Annual inflation for fixed operating expenses.</x:v>
      </x:c>
      <x:c r="D71" s="200"/>
      <x:c r="E71" s="200"/>
      <x:c r="F71" s="290"/>
      <x:c r="G71" s="200"/>
    </x:row>
    <x:row r="72" ht="28" customHeight="1">
      <x:c r="A72" s="200" t="str">
        <x:v>Property appreciation</x:v>
      </x:c>
      <x:c r="B72" s="275" t="n">
        <x:v>0</x:v>
      </x:c>
      <x:c r="C72" s="200" t="str">
        <x:v>Uncertain, noncash assumption; never used to rescue cash flow.</x:v>
      </x:c>
      <x:c r="D72" s="200"/>
      <x:c r="E72" s="200"/>
      <x:c r="F72" s="290"/>
      <x:c r="G72" s="200"/>
    </x:row>
    <x:row r="73" ht="28" customHeight="1">
      <x:c r="A73" s="200" t="str">
        <x:v>Turnover / consumable inflation</x:v>
      </x:c>
      <x:c r="B73" s="275" t="n">
        <x:v>0.03</x:v>
      </x:c>
      <x:c r="C73" s="200" t="str">
        <x:v>Annual growth in per-stay and per-night costs.</x:v>
      </x:c>
      <x:c r="D73" s="200"/>
      <x:c r="E73" s="200"/>
      <x:c r="F73" s="290"/>
      <x:c r="G73" s="200"/>
    </x:row>
    <x:row r="74" ht="27" customHeight="1">
      <x:c r="A74" s="6"/>
      <x:c r="B74" s="6"/>
      <x:c r="C74" s="6"/>
      <x:c r="D74" s="6"/>
      <x:c r="E74" s="6"/>
      <x:c r="F74" s="6"/>
      <x:c r="G74" s="6"/>
    </x:row>
    <x:row r="75" ht="27" customHeight="1">
      <x:c r="A75" s="6"/>
      <x:c r="B75" s="6"/>
      <x:c r="C75" s="6"/>
      <x:c r="D75" s="6"/>
      <x:c r="E75" s="6"/>
      <x:c r="F75" s="6"/>
      <x:c r="G75" s="6"/>
    </x:row>
    <x:row r="76" ht="27" customHeight="1">
      <x:c r="A76" s="6"/>
      <x:c r="B76" s="6"/>
      <x:c r="C76" s="6"/>
      <x:c r="D76" s="6"/>
      <x:c r="E76" s="6"/>
      <x:c r="F76" s="6"/>
      <x:c r="G76" s="6"/>
    </x:row>
    <x:row r="77" ht="27" customHeight="1">
      <x:c r="A77" s="6"/>
      <x:c r="B77" s="6"/>
      <x:c r="C77" s="6"/>
      <x:c r="D77" s="6"/>
      <x:c r="E77" s="6"/>
      <x:c r="F77" s="6"/>
      <x:c r="G77" s="6"/>
    </x:row>
    <x:row r="78" ht="27" customHeight="1">
      <x:c r="A78" s="6"/>
      <x:c r="B78" s="6"/>
      <x:c r="C78" s="6"/>
      <x:c r="D78" s="6"/>
      <x:c r="E78" s="6"/>
      <x:c r="F78" s="6"/>
      <x:c r="G78" s="6"/>
    </x:row>
    <x:row r="79" ht="27" customHeight="1">
      <x:c r="A79" s="6"/>
      <x:c r="B79" s="6"/>
      <x:c r="C79" s="6"/>
      <x:c r="D79" s="6"/>
      <x:c r="E79" s="6"/>
      <x:c r="F79" s="6"/>
      <x:c r="G79" s="6"/>
    </x:row>
    <x:row r="80" ht="27" customHeight="1">
      <x:c r="A80" s="6"/>
      <x:c r="B80" s="6"/>
      <x:c r="C80" s="6"/>
      <x:c r="D80" s="6"/>
      <x:c r="E80" s="6"/>
      <x:c r="F80" s="6"/>
      <x:c r="G80" s="6"/>
    </x:row>
    <x:row r="81" ht="27" customHeight="1">
      <x:c r="A81" s="6"/>
      <x:c r="B81" s="6"/>
      <x:c r="C81" s="6"/>
      <x:c r="D81" s="6"/>
      <x:c r="E81" s="6"/>
      <x:c r="F81" s="6"/>
      <x:c r="G81" s="6"/>
    </x:row>
    <x:row r="82" ht="27" customHeight="1">
      <x:c r="A82" s="6"/>
      <x:c r="B82" s="6"/>
      <x:c r="C82" s="6"/>
      <x:c r="D82" s="6"/>
      <x:c r="E82" s="6"/>
      <x:c r="F82" s="6"/>
      <x:c r="G82" s="6"/>
    </x:row>
    <x:row r="83" ht="27" customHeight="1">
      <x:c r="A83" s="6"/>
      <x:c r="B83" s="6"/>
      <x:c r="C83" s="6"/>
      <x:c r="D83" s="6"/>
      <x:c r="E83" s="6"/>
      <x:c r="F83" s="6"/>
      <x:c r="G83" s="6"/>
    </x:row>
    <x:row r="84" ht="27" customHeight="1">
      <x:c r="A84" s="6"/>
      <x:c r="B84" s="6"/>
      <x:c r="C84" s="6"/>
      <x:c r="D84" s="6"/>
      <x:c r="E84" s="6"/>
      <x:c r="F84" s="6"/>
      <x:c r="G84" s="6"/>
    </x:row>
    <x:row r="85" ht="27" customHeight="1">
      <x:c r="A85" s="6"/>
      <x:c r="B85" s="6"/>
      <x:c r="C85" s="6"/>
      <x:c r="D85" s="6"/>
      <x:c r="E85" s="6"/>
      <x:c r="F85" s="6"/>
      <x:c r="G85" s="6"/>
    </x:row>
    <x:row r="86" ht="27" customHeight="1">
      <x:c r="A86" s="6"/>
      <x:c r="B86" s="6"/>
      <x:c r="C86" s="6"/>
      <x:c r="D86" s="6"/>
      <x:c r="E86" s="6"/>
      <x:c r="F86" s="6"/>
      <x:c r="G86" s="6"/>
    </x:row>
    <x:row r="87" ht="27" customHeight="1">
      <x:c r="A87" s="6"/>
      <x:c r="B87" s="6"/>
      <x:c r="C87" s="6"/>
      <x:c r="D87" s="6"/>
      <x:c r="E87" s="6"/>
      <x:c r="F87" s="6"/>
      <x:c r="G87" s="6"/>
    </x:row>
    <x:row r="88" ht="27" customHeight="1">
      <x:c r="A88" s="6"/>
      <x:c r="B88" s="6"/>
      <x:c r="C88" s="6"/>
      <x:c r="D88" s="6"/>
      <x:c r="E88" s="6"/>
      <x:c r="F88" s="6"/>
      <x:c r="G88" s="6"/>
    </x:row>
    <x:row r="89" ht="27" customHeight="1">
      <x:c r="A89" s="6"/>
      <x:c r="B89" s="6"/>
      <x:c r="C89" s="6"/>
      <x:c r="D89" s="6"/>
      <x:c r="E89" s="6"/>
      <x:c r="F89" s="6"/>
      <x:c r="G89" s="6"/>
    </x:row>
    <x:row r="90" ht="27" customHeight="1">
      <x:c r="A90" s="6"/>
      <x:c r="B90" s="6"/>
      <x:c r="C90" s="6"/>
      <x:c r="D90" s="6"/>
      <x:c r="E90" s="6"/>
      <x:c r="F90" s="6"/>
      <x:c r="G90" s="6"/>
    </x:row>
    <x:row r="91" ht="27" customHeight="1">
      <x:c r="A91" s="6"/>
      <x:c r="B91" s="6"/>
      <x:c r="C91" s="6"/>
      <x:c r="D91" s="6"/>
      <x:c r="E91" s="6"/>
      <x:c r="F91" s="6"/>
      <x:c r="G91" s="6"/>
    </x:row>
    <x:row r="92" ht="27" customHeight="1">
      <x:c r="A92" s="6"/>
      <x:c r="B92" s="6"/>
      <x:c r="C92" s="6"/>
      <x:c r="D92" s="6"/>
      <x:c r="E92" s="6"/>
      <x:c r="F92" s="6"/>
      <x:c r="G92" s="6"/>
    </x:row>
    <x:row r="93" ht="27" customHeight="1">
      <x:c r="A93" s="6"/>
      <x:c r="B93" s="6"/>
      <x:c r="C93" s="6"/>
      <x:c r="D93" s="6"/>
      <x:c r="E93" s="6"/>
      <x:c r="F93" s="6"/>
      <x:c r="G93" s="6"/>
    </x:row>
    <x:row r="94" ht="27" customHeight="1">
      <x:c r="A94" s="6"/>
      <x:c r="B94" s="6"/>
      <x:c r="C94" s="6"/>
      <x:c r="D94" s="6"/>
      <x:c r="E94" s="6"/>
      <x:c r="F94" s="6"/>
      <x:c r="G94" s="6"/>
    </x:row>
    <x:row r="95" ht="27" customHeight="1">
      <x:c r="A95" s="6"/>
      <x:c r="B95" s="6"/>
      <x:c r="C95" s="6"/>
      <x:c r="D95" s="6"/>
      <x:c r="E95" s="6"/>
      <x:c r="F95" s="6"/>
      <x:c r="G95" s="6"/>
    </x:row>
  </x:sheetData>
  <x:mergeCells>
    <x:mergeCell ref="A1:G2"/>
    <x:mergeCell ref="A3:G4"/>
    <x:mergeCell ref="A12:C12"/>
    <x:mergeCell ref="E12:G12"/>
    <x:mergeCell ref="A30:C30"/>
    <x:mergeCell ref="A43:C43"/>
    <x:mergeCell ref="A61:C61"/>
    <x:mergeCell ref="A69:C69"/>
    <x:mergeCell ref="A10:G10"/>
  </x:mergeCells>
  <x:conditionalFormatting sqref="F13:F60">
    <x:cfRule type="cellIs" dxfId="1" priority="1" operator="lessThan">
      <x:formula>0</x:formula>
    </x:cfRule>
  </x:conditionalFormatting>
  <x:dataValidations count="52">
    <x:dataValidation type="list" sqref="B14">
      <x:formula1>"Unconfirmed,Yes,No"</x:formula1>
    </x:dataValidation>
    <x:dataValidation type="list" sqref="B15">
      <x:formula1>"Unconfirmed,Yes,No"</x:formula1>
    </x:dataValidation>
    <x:dataValidation type="list" sqref="B16">
      <x:formula1>"Unconfirmed,Yes,No"</x:formula1>
    </x:dataValidation>
    <x:dataValidation type="list" sqref="B19">
      <x:formula1>"Flat,Monthly"</x:formula1>
    </x:dataValidation>
    <x:dataValidation type="decimal" operator="between" sqref="B20">
      <x:formula1>0</x:formula1>
      <x:formula2>1000000000</x:formula2>
    </x:dataValidation>
    <x:dataValidation type="decimal" operator="between" sqref="B21">
      <x:formula1>0</x:formula1>
      <x:formula2>1</x:formula2>
    </x:dataValidation>
    <x:dataValidation type="whole" operator="between" sqref="B22">
      <x:formula1>0</x:formula1>
      <x:formula2>365</x:formula2>
    </x:dataValidation>
    <x:dataValidation type="decimal" operator="between" sqref="B23">
      <x:formula1>1</x:formula1>
      <x:formula2>365</x:formula2>
    </x:dataValidation>
    <x:dataValidation type="decimal" operator="between" sqref="B24">
      <x:formula1>0</x:formula1>
      <x:formula2>1000000000</x:formula2>
    </x:dataValidation>
    <x:dataValidation type="decimal" operator="between" sqref="B25">
      <x:formula1>0</x:formula1>
      <x:formula2>1000000000</x:formula2>
    </x:dataValidation>
    <x:dataValidation type="decimal" operator="between" sqref="B26">
      <x:formula1>0</x:formula1>
      <x:formula2>1</x:formula2>
    </x:dataValidation>
    <x:dataValidation type="decimal" operator="between" sqref="B27">
      <x:formula1>0</x:formula1>
      <x:formula2>1</x:formula2>
    </x:dataValidation>
    <x:dataValidation type="list" sqref="B28">
      <x:formula1>"Room only,Gross booking"</x:formula1>
    </x:dataValidation>
    <x:dataValidation type="decimal" operator="between" sqref="B17">
      <x:formula1>0</x:formula1>
      <x:formula2>1000000000</x:formula2>
    </x:dataValidation>
    <x:dataValidation type="decimal" operator="between" sqref="B18">
      <x:formula1>0</x:formula1>
      <x:formula2>1</x:formula2>
    </x:dataValidation>
    <x:dataValidation type="list" sqref="B31">
      <x:formula1>"Percent,Dollars"</x:formula1>
    </x:dataValidation>
    <x:dataValidation type="decimal" operator="between" sqref="B32">
      <x:formula1>0</x:formula1>
      <x:formula2>1000000000</x:formula2>
    </x:dataValidation>
    <x:dataValidation type="decimal" operator="between" sqref="B33">
      <x:formula1>0</x:formula1>
      <x:formula2>1000000000</x:formula2>
    </x:dataValidation>
    <x:dataValidation type="decimal" operator="between" sqref="B34">
      <x:formula1>0</x:formula1>
      <x:formula2>1</x:formula2>
    </x:dataValidation>
    <x:dataValidation type="whole" operator="between" sqref="B35">
      <x:formula1>1</x:formula1>
      <x:formula2>40</x:formula2>
    </x:dataValidation>
    <x:dataValidation type="decimal" operator="between" sqref="B36">
      <x:formula1>0</x:formula1>
      <x:formula2>1000000000</x:formula2>
    </x:dataValidation>
    <x:dataValidation type="decimal" operator="between" sqref="B37">
      <x:formula1>0</x:formula1>
      <x:formula2>1000000000</x:formula2>
    </x:dataValidation>
    <x:dataValidation type="decimal" operator="between" sqref="B38">
      <x:formula1>0</x:formula1>
      <x:formula2>1000000000</x:formula2>
    </x:dataValidation>
    <x:dataValidation type="decimal" operator="between" sqref="B39">
      <x:formula1>0</x:formula1>
      <x:formula2>1000000000</x:formula2>
    </x:dataValidation>
    <x:dataValidation type="decimal" operator="between" sqref="B40">
      <x:formula1>0</x:formula1>
      <x:formula2>1000000000</x:formula2>
    </x:dataValidation>
    <x:dataValidation type="decimal" operator="between" sqref="B41">
      <x:formula1>0</x:formula1>
      <x:formula2>1000000000</x:formula2>
    </x:dataValidation>
    <x:dataValidation type="decimal" operator="between" sqref="B44">
      <x:formula1>0</x:formula1>
      <x:formula2>1000000000</x:formula2>
    </x:dataValidation>
    <x:dataValidation type="decimal" operator="between" sqref="B45">
      <x:formula1>0</x:formula1>
      <x:formula2>1000000000</x:formula2>
    </x:dataValidation>
    <x:dataValidation type="decimal" operator="between" sqref="B46">
      <x:formula1>0</x:formula1>
      <x:formula2>1000000000</x:formula2>
    </x:dataValidation>
    <x:dataValidation type="decimal" operator="between" sqref="B47">
      <x:formula1>0</x:formula1>
      <x:formula2>1000000000</x:formula2>
    </x:dataValidation>
    <x:dataValidation type="decimal" operator="between" sqref="B48">
      <x:formula1>0</x:formula1>
      <x:formula2>1000000000</x:formula2>
    </x:dataValidation>
    <x:dataValidation type="decimal" operator="between" sqref="B49">
      <x:formula1>0</x:formula1>
      <x:formula2>1000000000</x:formula2>
    </x:dataValidation>
    <x:dataValidation type="decimal" operator="between" sqref="B50">
      <x:formula1>0</x:formula1>
      <x:formula2>1000000000</x:formula2>
    </x:dataValidation>
    <x:dataValidation type="decimal" operator="between" sqref="B51">
      <x:formula1>0</x:formula1>
      <x:formula2>1000000000</x:formula2>
    </x:dataValidation>
    <x:dataValidation type="decimal" operator="between" sqref="B52">
      <x:formula1>0</x:formula1>
      <x:formula2>1000000000</x:formula2>
    </x:dataValidation>
    <x:dataValidation type="decimal" operator="between" sqref="B53">
      <x:formula1>0</x:formula1>
      <x:formula2>1000000000</x:formula2>
    </x:dataValidation>
    <x:dataValidation type="decimal" operator="between" sqref="B54">
      <x:formula1>0</x:formula1>
      <x:formula2>1000000000</x:formula2>
    </x:dataValidation>
    <x:dataValidation type="decimal" operator="between" sqref="B55">
      <x:formula1>0</x:formula1>
      <x:formula2>1000000000</x:formula2>
    </x:dataValidation>
    <x:dataValidation type="decimal" operator="between" sqref="B56">
      <x:formula1>0</x:formula1>
      <x:formula2>1000000000</x:formula2>
    </x:dataValidation>
    <x:dataValidation type="decimal" operator="between" sqref="B57">
      <x:formula1>0</x:formula1>
      <x:formula2>1</x:formula2>
    </x:dataValidation>
    <x:dataValidation type="decimal" operator="between" sqref="B58">
      <x:formula1>0</x:formula1>
      <x:formula2>1</x:formula2>
    </x:dataValidation>
    <x:dataValidation type="decimal" operator="between" sqref="B59">
      <x:formula1>0</x:formula1>
      <x:formula2>1</x:formula2>
    </x:dataValidation>
    <x:dataValidation type="decimal" operator="between" sqref="B62">
      <x:formula1>0</x:formula1>
      <x:formula2>1000000000</x:formula2>
    </x:dataValidation>
    <x:dataValidation type="decimal" operator="between" sqref="B63">
      <x:formula1>0</x:formula1>
      <x:formula2>1</x:formula2>
    </x:dataValidation>
    <x:dataValidation type="decimal" operator="between" sqref="B64">
      <x:formula1>0</x:formula1>
      <x:formula2>1000000000</x:formula2>
    </x:dataValidation>
    <x:dataValidation type="decimal" operator="between" sqref="B65">
      <x:formula1>0</x:formula1>
      <x:formula2>1</x:formula2>
    </x:dataValidation>
    <x:dataValidation type="decimal" operator="between" sqref="B66">
      <x:formula1>0</x:formula1>
      <x:formula2>1</x:formula2>
    </x:dataValidation>
    <x:dataValidation type="decimal" operator="between" sqref="B67">
      <x:formula1>0</x:formula1>
      <x:formula2>1000000000</x:formula2>
    </x:dataValidation>
    <x:dataValidation type="decimal" operator="between" sqref="B70">
      <x:formula1>-0.5</x:formula1>
      <x:formula2>0.5</x:formula2>
    </x:dataValidation>
    <x:dataValidation type="decimal" operator="between" sqref="B71">
      <x:formula1>-0.5</x:formula1>
      <x:formula2>0.5</x:formula2>
    </x:dataValidation>
    <x:dataValidation type="decimal" operator="between" sqref="B72">
      <x:formula1>-0.5</x:formula1>
      <x:formula2>0.5</x:formula2>
    </x:dataValidation>
    <x:dataValidation type="decimal" operator="between" sqref="B73">
      <x:formula1>-0.5</x:formula1>
      <x:formula2>0.5</x:formula2>
    </x:dataValidation>
  </x:dataValidations>
  <x:pageMargins left="0.7" right="0.7" top="0.75" bottom="0.75" header="0.3" footer="0.3"/>
  <x:legacyDrawing xmlns:r="http://schemas.openxmlformats.org/officeDocument/2006/relationships" r:id="Rd4451669570044ce"/>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12" hidden="0" customWidth="1"/>
    <x:col min="3" max="3" width="16" hidden="0" customWidth="1"/>
    <x:col min="4" max="4" width="15" hidden="0" customWidth="1"/>
    <x:col min="5" max="5" width="16" hidden="0" customWidth="1"/>
    <x:col min="6" max="6" width="16" hidden="0" customWidth="1"/>
    <x:col min="7" max="7" width="16" hidden="0" customWidth="1"/>
    <x:col min="8" max="8" width="19" hidden="0" customWidth="1"/>
    <x:col min="9" max="9" width="3" hidden="0" customWidth="1"/>
    <x:col min="10" max="10" width="22" hidden="0" customWidth="1"/>
  </x:cols>
  <x:sheetData>
    <x:row r="1" ht="28" customHeight="1">
      <x:c r="A1" s="202" t="str">
        <x:v>SEASONALITY | Monthly underwriting</x:v>
      </x:c>
      <x:c r="B1" s="202" t="str">
        <x:v>SEASONALITY | Monthly underwriting</x:v>
      </x:c>
      <x:c r="C1" s="202" t="str">
        <x:v>SEASONALITY | Monthly underwriting</x:v>
      </x:c>
      <x:c r="D1" s="202" t="str">
        <x:v>SEASONALITY | Monthly underwriting</x:v>
      </x:c>
      <x:c r="E1" s="202" t="str">
        <x:v>SEASONALITY | Monthly underwriting</x:v>
      </x:c>
      <x:c r="F1" s="202" t="str">
        <x:v>SEASONALITY | Monthly underwriting</x:v>
      </x:c>
      <x:c r="G1" s="202" t="str">
        <x:v>SEASONALITY | Monthly underwriting</x:v>
      </x:c>
      <x:c r="H1" s="202" t="str">
        <x:v>SEASONALITY | Monthly underwriting</x:v>
      </x:c>
      <x:c r="I1" s="202" t="str">
        <x:v>SEASONALITY | Monthly underwriting</x:v>
      </x:c>
      <x:c r="J1" s="202" t="str">
        <x:v>SEASONALITY | Monthly underwriting</x:v>
      </x:c>
    </x:row>
    <x:row r="2" ht="24" customHeight="1">
      <x:c r="A2" s="202" t="str">
        <x:v>SEASONALITY | Monthly underwriting</x:v>
      </x:c>
      <x:c r="B2" s="202" t="str">
        <x:v>SEASONALITY | Monthly underwriting</x:v>
      </x:c>
      <x:c r="C2" s="202" t="str">
        <x:v>SEASONALITY | Monthly underwriting</x:v>
      </x:c>
      <x:c r="D2" s="202" t="str">
        <x:v>SEASONALITY | Monthly underwriting</x:v>
      </x:c>
      <x:c r="E2" s="202" t="str">
        <x:v>SEASONALITY | Monthly underwriting</x:v>
      </x:c>
      <x:c r="F2" s="202" t="str">
        <x:v>SEASONALITY | Monthly underwriting</x:v>
      </x:c>
      <x:c r="G2" s="202" t="str">
        <x:v>SEASONALITY | Monthly underwriting</x:v>
      </x:c>
      <x:c r="H2" s="202" t="str">
        <x:v>SEASONALITY | Monthly underwriting</x:v>
      </x:c>
      <x:c r="I2" s="202" t="str">
        <x:v>SEASONALITY | Monthly underwriting</x:v>
      </x:c>
      <x:c r="J2" s="202" t="str">
        <x:v>SEASONALITY | Monthly underwriting</x:v>
      </x:c>
    </x:row>
    <x:row r="3" ht="25" customHeight="1">
      <x:c r="A3" s="203" t="str">
        <x:v>Flat mode spreads annual rentable nights across a 365-day calendar. Monthly mode uses blue available-night, occupancy and ADR inputs. Default monthly values are illustrative; replace all 12 months before switching modes.</x:v>
      </x:c>
      <x:c r="B3" s="203" t="str">
        <x:v>Flat mode spreads annual rentable nights across a 365-day calendar. Monthly mode uses blue available-night, occupancy and ADR inputs. Default monthly values are illustrative; replace all 12 months before switching modes.</x:v>
      </x:c>
      <x:c r="C3" s="203" t="str">
        <x:v>Flat mode spreads annual rentable nights across a 365-day calendar. Monthly mode uses blue available-night, occupancy and ADR inputs. Default monthly values are illustrative; replace all 12 months before switching modes.</x:v>
      </x:c>
      <x:c r="D3" s="203" t="str">
        <x:v>Flat mode spreads annual rentable nights across a 365-day calendar. Monthly mode uses blue available-night, occupancy and ADR inputs. Default monthly values are illustrative; replace all 12 months before switching modes.</x:v>
      </x:c>
      <x:c r="E3" s="203" t="str">
        <x:v>Flat mode spreads annual rentable nights across a 365-day calendar. Monthly mode uses blue available-night, occupancy and ADR inputs. Default monthly values are illustrative; replace all 12 months before switching modes.</x:v>
      </x:c>
      <x:c r="F3" s="203" t="str">
        <x:v>Flat mode spreads annual rentable nights across a 365-day calendar. Monthly mode uses blue available-night, occupancy and ADR inputs. Default monthly values are illustrative; replace all 12 months before switching modes.</x:v>
      </x:c>
      <x:c r="G3" s="203" t="str">
        <x:v>Flat mode spreads annual rentable nights across a 365-day calendar. Monthly mode uses blue available-night, occupancy and ADR inputs. Default monthly values are illustrative; replace all 12 months before switching modes.</x:v>
      </x:c>
      <x:c r="H3" s="203" t="str">
        <x:v>Flat mode spreads annual rentable nights across a 365-day calendar. Monthly mode uses blue available-night, occupancy and ADR inputs. Default monthly values are illustrative; replace all 12 months before switching modes.</x:v>
      </x:c>
      <x:c r="I3" s="203" t="str">
        <x:v>Flat mode spreads annual rentable nights across a 365-day calendar. Monthly mode uses blue available-night, occupancy and ADR inputs. Default monthly values are illustrative; replace all 12 months before switching modes.</x:v>
      </x:c>
      <x:c r="J3" s="203" t="str">
        <x:v>Flat mode spreads annual rentable nights across a 365-day calendar. Monthly mode uses blue available-night, occupancy and ADR inputs. Default monthly values are illustrative; replace all 12 months before switching modes.</x:v>
      </x:c>
    </x:row>
    <x:row r="4" ht="25" customHeight="1">
      <x:c r="A4" s="203" t="str">
        <x:v>Flat mode spreads annual rentable nights across a 365-day calendar. Monthly mode uses blue available-night, occupancy and ADR inputs. Default monthly values are illustrative; replace all 12 months before switching modes.</x:v>
      </x:c>
      <x:c r="B4" s="203" t="str">
        <x:v>Flat mode spreads annual rentable nights across a 365-day calendar. Monthly mode uses blue available-night, occupancy and ADR inputs. Default monthly values are illustrative; replace all 12 months before switching modes.</x:v>
      </x:c>
      <x:c r="C4" s="203" t="str">
        <x:v>Flat mode spreads annual rentable nights across a 365-day calendar. Monthly mode uses blue available-night, occupancy and ADR inputs. Default monthly values are illustrative; replace all 12 months before switching modes.</x:v>
      </x:c>
      <x:c r="D4" s="203" t="str">
        <x:v>Flat mode spreads annual rentable nights across a 365-day calendar. Monthly mode uses blue available-night, occupancy and ADR inputs. Default monthly values are illustrative; replace all 12 months before switching modes.</x:v>
      </x:c>
      <x:c r="E4" s="203" t="str">
        <x:v>Flat mode spreads annual rentable nights across a 365-day calendar. Monthly mode uses blue available-night, occupancy and ADR inputs. Default monthly values are illustrative; replace all 12 months before switching modes.</x:v>
      </x:c>
      <x:c r="F4" s="203" t="str">
        <x:v>Flat mode spreads annual rentable nights across a 365-day calendar. Monthly mode uses blue available-night, occupancy and ADR inputs. Default monthly values are illustrative; replace all 12 months before switching modes.</x:v>
      </x:c>
      <x:c r="G4" s="203" t="str">
        <x:v>Flat mode spreads annual rentable nights across a 365-day calendar. Monthly mode uses blue available-night, occupancy and ADR inputs. Default monthly values are illustrative; replace all 12 months before switching modes.</x:v>
      </x:c>
      <x:c r="H4" s="203" t="str">
        <x:v>Flat mode spreads annual rentable nights across a 365-day calendar. Monthly mode uses blue available-night, occupancy and ADR inputs. Default monthly values are illustrative; replace all 12 months before switching modes.</x:v>
      </x:c>
      <x:c r="I4" s="203" t="str">
        <x:v>Flat mode spreads annual rentable nights across a 365-day calendar. Monthly mode uses blue available-night, occupancy and ADR inputs. Default monthly values are illustrative; replace all 12 months before switching modes.</x:v>
      </x:c>
      <x:c r="J4" s="203" t="str">
        <x:v>Flat mode spreads annual rentable nights across a 365-day calendar. Monthly mode uses blue available-night, occupancy and ADR inputs. Default monthly values are illustrative; replace all 12 months before switching modes.</x:v>
      </x:c>
    </x:row>
    <x:row r="5" ht="25" customHeight="1">
      <x:c r="A5" s="200" t="str">
        <x:v>Flat mode spreads annual rentable nights across a 365-day calendar. Monthly mode uses blue available-night, occupancy and ADR inputs. Default monthly values are illustrative; replace all 12 months before switching modes.</x:v>
      </x:c>
      <x:c r="B5" s="200" t="str">
        <x:v>Flat mode spreads annual rentable nights across a 365-day calendar. Monthly mode uses blue available-night, occupancy and ADR inputs. Default monthly values are illustrative; replace all 12 months before switching modes.</x:v>
      </x:c>
      <x:c r="C5" s="200" t="str">
        <x:v>Flat mode spreads annual rentable nights across a 365-day calendar. Monthly mode uses blue available-night, occupancy and ADR inputs. Default monthly values are illustrative; replace all 12 months before switching modes.</x:v>
      </x:c>
      <x:c r="D5" s="200" t="str">
        <x:v>Flat mode spreads annual rentable nights across a 365-day calendar. Monthly mode uses blue available-night, occupancy and ADR inputs. Default monthly values are illustrative; replace all 12 months before switching modes.</x:v>
      </x:c>
      <x:c r="E5" s="200" t="str">
        <x:v>Flat mode spreads annual rentable nights across a 365-day calendar. Monthly mode uses blue available-night, occupancy and ADR inputs. Default monthly values are illustrative; replace all 12 months before switching modes.</x:v>
      </x:c>
      <x:c r="F5" s="200" t="str">
        <x:v>Flat mode spreads annual rentable nights across a 365-day calendar. Monthly mode uses blue available-night, occupancy and ADR inputs. Default monthly values are illustrative; replace all 12 months before switching modes.</x:v>
      </x:c>
      <x:c r="G5" s="200" t="str">
        <x:v>Flat mode spreads annual rentable nights across a 365-day calendar. Monthly mode uses blue available-night, occupancy and ADR inputs. Default monthly values are illustrative; replace all 12 months before switching modes.</x:v>
      </x:c>
      <x:c r="H5" s="200" t="str">
        <x:v>Flat mode spreads annual rentable nights across a 365-day calendar. Monthly mode uses blue available-night, occupancy and ADR inputs. Default monthly values are illustrative; replace all 12 months before switching modes.</x:v>
      </x:c>
      <x:c r="I5" s="200" t="str">
        <x:v>Flat mode spreads annual rentable nights across a 365-day calendar. Monthly mode uses blue available-night, occupancy and ADR inputs. Default monthly values are illustrative; replace all 12 months before switching modes.</x:v>
      </x:c>
      <x:c r="J5" s="200" t="str">
        <x:v>Flat mode spreads annual rentable nights across a 365-day calendar. Monthly mode uses blue available-night, occupancy and ADR inputs. Default monthly values are illustrative; replace all 12 months before switching modes.</x:v>
      </x:c>
    </x:row>
    <x:row r="6" ht="25" customHeight="1">
      <x:c r="A6" s="317"/>
      <x:c r="B6" s="317"/>
      <x:c r="C6" s="317"/>
      <x:c r="D6" s="317"/>
      <x:c r="E6" s="317"/>
      <x:c r="F6" s="317"/>
      <x:c r="G6" s="317"/>
      <x:c r="H6" s="317"/>
      <x:c r="I6" s="317"/>
      <x:c r="J6" s="317"/>
    </x:row>
    <x:row r="7" ht="25" customHeight="1">
      <x:c r="A7" s="200"/>
      <x:c r="B7" s="200"/>
      <x:c r="C7" s="200"/>
      <x:c r="D7" s="200"/>
      <x:c r="E7" s="200"/>
      <x:c r="F7" s="200"/>
      <x:c r="G7" s="200"/>
      <x:c r="H7" s="200"/>
      <x:c r="I7" s="200"/>
      <x:c r="J7" s="200"/>
    </x:row>
    <x:row r="8" ht="25" customHeight="1">
      <x:c r="A8" s="200"/>
      <x:c r="B8" s="200"/>
      <x:c r="C8" s="200"/>
      <x:c r="D8" s="200"/>
      <x:c r="E8" s="200"/>
      <x:c r="F8" s="200"/>
      <x:c r="G8" s="200"/>
      <x:c r="H8" s="200"/>
      <x:c r="I8" s="200"/>
      <x:c r="J8" s="200"/>
    </x:row>
    <x:row r="9" ht="25" customHeight="1">
      <x:c r="A9" s="200"/>
      <x:c r="B9" s="200"/>
      <x:c r="C9" s="200"/>
      <x:c r="D9" s="200"/>
      <x:c r="E9" s="200"/>
      <x:c r="F9" s="200"/>
      <x:c r="G9" s="200"/>
      <x:c r="H9" s="200"/>
      <x:c r="I9" s="200"/>
      <x:c r="J9" s="200"/>
    </x:row>
    <x:row r="10" ht="25" customHeight="1">
      <x:c r="A10" s="200"/>
      <x:c r="B10" s="200"/>
      <x:c r="C10" s="200"/>
      <x:c r="D10" s="200"/>
      <x:c r="E10" s="200"/>
      <x:c r="F10" s="200"/>
      <x:c r="G10" s="200"/>
      <x:c r="H10" s="200"/>
      <x:c r="I10" s="200"/>
      <x:c r="J10" s="200"/>
    </x:row>
    <x:row r="11" ht="25" customHeight="1">
      <x:c r="A11" s="199" t="str">
        <x:v>ARBITRAGE CALCULATOR</x:v>
      </x:c>
      <x:c r="B11" s="199" t="str">
        <x:v>ARBITRAGE CALCULATOR</x:v>
      </x:c>
      <x:c r="C11" s="199" t="str">
        <x:v>ARBITRAGE CALCULATOR</x:v>
      </x:c>
      <x:c r="D11" s="199" t="str">
        <x:v>ARBITRAGE CALCULATOR</x:v>
      </x:c>
      <x:c r="E11" s="199" t="str">
        <x:v>ARBITRAGE CALCULATOR</x:v>
      </x:c>
      <x:c r="F11" s="199" t="str">
        <x:v>ARBITRAGE CALCULATOR</x:v>
      </x:c>
      <x:c r="G11" s="199" t="str">
        <x:v>ARBITRAGE CALCULATOR</x:v>
      </x:c>
      <x:c r="H11" s="199" t="str">
        <x:v>ARBITRAGE CALCULATOR</x:v>
      </x:c>
      <x:c r="I11" s="199" t="str">
        <x:v>ARBITRAGE CALCULATOR</x:v>
      </x:c>
      <x:c r="J11" s="199" t="str">
        <x:v>ARBITRAGE CALCULATOR</x:v>
      </x:c>
    </x:row>
    <x:row r="12" ht="35" customHeight="1">
      <x:c r="A12" s="199" t="str">
        <x:v>Month</x:v>
      </x:c>
      <x:c r="B12" s="199" t="str">
        <x:v>Calendar nights</x:v>
      </x:c>
      <x:c r="C12" s="199" t="str">
        <x:v>Available input</x:v>
      </x:c>
      <x:c r="D12" s="199" t="str">
        <x:v>Occupancy input</x:v>
      </x:c>
      <x:c r="E12" s="199" t="str">
        <x:v>ADR input</x:v>
      </x:c>
      <x:c r="F12" s="199" t="str">
        <x:v>Used available</x:v>
      </x:c>
      <x:c r="G12" s="199" t="str">
        <x:v>Booked nights</x:v>
      </x:c>
      <x:c r="H12" s="199" t="str">
        <x:v>Room revenue</x:v>
      </x:c>
      <x:c r="I12" s="199" t="str"/>
      <x:c r="J12" s="199" t="str">
        <x:v>Net cash flow</x:v>
      </x:c>
    </x:row>
    <x:row r="13" ht="25" customHeight="1">
      <x:c r="A13" s="200" t="str">
        <x:v>Jan</x:v>
      </x:c>
      <x:c r="B13" s="200" t="n">
        <x:v>31</x:v>
      </x:c>
      <x:c r="C13" s="200" t="n">
        <x:v>31</x:v>
      </x:c>
      <x:c r="D13" s="224" t="n">
        <x:v>0.55</x:v>
      </x:c>
      <x:c r="E13" s="225" t="n">
        <x:v>275</x:v>
      </x:c>
      <x:c r="F13" s="226" t="n">
        <x:f>IF('Arbitrage Calculator'!$B$19="Monthly",C13,'Arbitrage Calculator'!$B$22*B13/365)</x:f>
        <x:v>30.575342465753426</x:v>
      </x:c>
      <x:c r="G13" s="226" t="n">
        <x:f>F13*IF('Arbitrage Calculator'!$B$19="Monthly",D13,'Arbitrage Calculator'!$B$21)</x:f>
        <x:v>16.816438356164387</x:v>
      </x:c>
      <x:c r="H13" s="225" t="n">
        <x:f>G13*IF('Arbitrage Calculator'!$B$19="Monthly",E13,'Arbitrage Calculator'!$B$20)</x:f>
        <x:v>4624.520547945206</x:v>
      </x:c>
      <x:c r="I13" s="200"/>
      <x:c r="J13" s="225" t="n">
        <x:f>H13*'Arbitrage Calculator'!$F$44+G13*'Arbitrage Calculator'!$F$45-'Arbitrage Calculator'!$F$30/12</x:f>
        <x:v>-203.5513698630134</x:v>
      </x:c>
    </x:row>
    <x:row r="14" ht="25" customHeight="1">
      <x:c r="A14" s="200" t="str">
        <x:v>Feb</x:v>
      </x:c>
      <x:c r="B14" s="200" t="n">
        <x:v>28</x:v>
      </x:c>
      <x:c r="C14" s="200" t="n">
        <x:v>28</x:v>
      </x:c>
      <x:c r="D14" s="224" t="n">
        <x:v>0.55</x:v>
      </x:c>
      <x:c r="E14" s="225" t="n">
        <x:v>275</x:v>
      </x:c>
      <x:c r="F14" s="226" t="n">
        <x:f>IF('Arbitrage Calculator'!$B$19="Monthly",C14,'Arbitrage Calculator'!$B$22*B14/365)</x:f>
        <x:v>27.616438356164384</x:v>
      </x:c>
      <x:c r="G14" s="226" t="n">
        <x:f>F14*IF('Arbitrage Calculator'!$B$19="Monthly",D14,'Arbitrage Calculator'!$B$21)</x:f>
        <x:v>15.189041095890412</x:v>
      </x:c>
      <x:c r="H14" s="225" t="n">
        <x:f>G14*IF('Arbitrage Calculator'!$B$19="Monthly",E14,'Arbitrage Calculator'!$B$20)</x:f>
        <x:v>4176.986301369863</x:v>
      </x:c>
      <x:c r="I14" s="200"/>
      <x:c r="J14" s="225" t="n">
        <x:f>H14*'Arbitrage Calculator'!$F$44+G14*'Arbitrage Calculator'!$F$45-'Arbitrage Calculator'!$F$30/12</x:f>
        <x:v>-495.4657534246576</x:v>
      </x:c>
    </x:row>
    <x:row r="15" ht="25" customHeight="1">
      <x:c r="A15" s="200" t="str">
        <x:v>Mar</x:v>
      </x:c>
      <x:c r="B15" s="200" t="n">
        <x:v>31</x:v>
      </x:c>
      <x:c r="C15" s="200" t="n">
        <x:v>31</x:v>
      </x:c>
      <x:c r="D15" s="224" t="n">
        <x:v>0.55</x:v>
      </x:c>
      <x:c r="E15" s="225" t="n">
        <x:v>275</x:v>
      </x:c>
      <x:c r="F15" s="226" t="n">
        <x:f>IF('Arbitrage Calculator'!$B$19="Monthly",C15,'Arbitrage Calculator'!$B$22*B15/365)</x:f>
        <x:v>30.575342465753426</x:v>
      </x:c>
      <x:c r="G15" s="226" t="n">
        <x:f>F15*IF('Arbitrage Calculator'!$B$19="Monthly",D15,'Arbitrage Calculator'!$B$21)</x:f>
        <x:v>16.816438356164387</x:v>
      </x:c>
      <x:c r="H15" s="225" t="n">
        <x:f>G15*IF('Arbitrage Calculator'!$B$19="Monthly",E15,'Arbitrage Calculator'!$B$20)</x:f>
        <x:v>4624.520547945206</x:v>
      </x:c>
      <x:c r="I15" s="200"/>
      <x:c r="J15" s="225" t="n">
        <x:f>H15*'Arbitrage Calculator'!$F$44+G15*'Arbitrage Calculator'!$F$45-'Arbitrage Calculator'!$F$30/12</x:f>
        <x:v>-203.5513698630134</x:v>
      </x:c>
    </x:row>
    <x:row r="16" ht="25" customHeight="1">
      <x:c r="A16" s="200" t="str">
        <x:v>Apr</x:v>
      </x:c>
      <x:c r="B16" s="200" t="n">
        <x:v>30</x:v>
      </x:c>
      <x:c r="C16" s="200" t="n">
        <x:v>30</x:v>
      </x:c>
      <x:c r="D16" s="224" t="n">
        <x:v>0.55</x:v>
      </x:c>
      <x:c r="E16" s="225" t="n">
        <x:v>275</x:v>
      </x:c>
      <x:c r="F16" s="226" t="n">
        <x:f>IF('Arbitrage Calculator'!$B$19="Monthly",C16,'Arbitrage Calculator'!$B$22*B16/365)</x:f>
        <x:v>29.589041095890412</x:v>
      </x:c>
      <x:c r="G16" s="226" t="n">
        <x:f>F16*IF('Arbitrage Calculator'!$B$19="Monthly",D16,'Arbitrage Calculator'!$B$21)</x:f>
        <x:v>16.27397260273973</x:v>
      </x:c>
      <x:c r="H16" s="225" t="n">
        <x:f>G16*IF('Arbitrage Calculator'!$B$19="Monthly",E16,'Arbitrage Calculator'!$B$20)</x:f>
        <x:v>4475.342465753425</x:v>
      </x:c>
      <x:c r="I16" s="200"/>
      <x:c r="J16" s="225" t="n">
        <x:f>H16*'Arbitrage Calculator'!$F$44+G16*'Arbitrage Calculator'!$F$45-'Arbitrage Calculator'!$F$30/12</x:f>
        <x:v>-300.85616438356146</x:v>
      </x:c>
    </x:row>
    <x:row r="17" ht="25" customHeight="1">
      <x:c r="A17" s="200" t="str">
        <x:v>May</x:v>
      </x:c>
      <x:c r="B17" s="200" t="n">
        <x:v>31</x:v>
      </x:c>
      <x:c r="C17" s="200" t="n">
        <x:v>31</x:v>
      </x:c>
      <x:c r="D17" s="224" t="n">
        <x:v>0.55</x:v>
      </x:c>
      <x:c r="E17" s="225" t="n">
        <x:v>275</x:v>
      </x:c>
      <x:c r="F17" s="226" t="n">
        <x:f>IF('Arbitrage Calculator'!$B$19="Monthly",C17,'Arbitrage Calculator'!$B$22*B17/365)</x:f>
        <x:v>30.575342465753426</x:v>
      </x:c>
      <x:c r="G17" s="226" t="n">
        <x:f>F17*IF('Arbitrage Calculator'!$B$19="Monthly",D17,'Arbitrage Calculator'!$B$21)</x:f>
        <x:v>16.816438356164387</x:v>
      </x:c>
      <x:c r="H17" s="225" t="n">
        <x:f>G17*IF('Arbitrage Calculator'!$B$19="Monthly",E17,'Arbitrage Calculator'!$B$20)</x:f>
        <x:v>4624.520547945206</x:v>
      </x:c>
      <x:c r="I17" s="200"/>
      <x:c r="J17" s="225" t="n">
        <x:f>H17*'Arbitrage Calculator'!$F$44+G17*'Arbitrage Calculator'!$F$45-'Arbitrage Calculator'!$F$30/12</x:f>
        <x:v>-203.5513698630134</x:v>
      </x:c>
    </x:row>
    <x:row r="18" ht="25" customHeight="1">
      <x:c r="A18" s="200" t="str">
        <x:v>Jun</x:v>
      </x:c>
      <x:c r="B18" s="200" t="n">
        <x:v>30</x:v>
      </x:c>
      <x:c r="C18" s="200" t="n">
        <x:v>30</x:v>
      </x:c>
      <x:c r="D18" s="224" t="n">
        <x:v>0.55</x:v>
      </x:c>
      <x:c r="E18" s="225" t="n">
        <x:v>275</x:v>
      </x:c>
      <x:c r="F18" s="226" t="n">
        <x:f>IF('Arbitrage Calculator'!$B$19="Monthly",C18,'Arbitrage Calculator'!$B$22*B18/365)</x:f>
        <x:v>29.589041095890412</x:v>
      </x:c>
      <x:c r="G18" s="226" t="n">
        <x:f>F18*IF('Arbitrage Calculator'!$B$19="Monthly",D18,'Arbitrage Calculator'!$B$21)</x:f>
        <x:v>16.27397260273973</x:v>
      </x:c>
      <x:c r="H18" s="225" t="n">
        <x:f>G18*IF('Arbitrage Calculator'!$B$19="Monthly",E18,'Arbitrage Calculator'!$B$20)</x:f>
        <x:v>4475.342465753425</x:v>
      </x:c>
      <x:c r="I18" s="200"/>
      <x:c r="J18" s="225" t="n">
        <x:f>H18*'Arbitrage Calculator'!$F$44+G18*'Arbitrage Calculator'!$F$45-'Arbitrage Calculator'!$F$30/12</x:f>
        <x:v>-300.85616438356146</x:v>
      </x:c>
    </x:row>
    <x:row r="19" ht="25" customHeight="1">
      <x:c r="A19" s="200" t="str">
        <x:v>Jul</x:v>
      </x:c>
      <x:c r="B19" s="200" t="n">
        <x:v>31</x:v>
      </x:c>
      <x:c r="C19" s="200" t="n">
        <x:v>31</x:v>
      </x:c>
      <x:c r="D19" s="224" t="n">
        <x:v>0.55</x:v>
      </x:c>
      <x:c r="E19" s="225" t="n">
        <x:v>275</x:v>
      </x:c>
      <x:c r="F19" s="226" t="n">
        <x:f>IF('Arbitrage Calculator'!$B$19="Monthly",C19,'Arbitrage Calculator'!$B$22*B19/365)</x:f>
        <x:v>30.575342465753426</x:v>
      </x:c>
      <x:c r="G19" s="226" t="n">
        <x:f>F19*IF('Arbitrage Calculator'!$B$19="Monthly",D19,'Arbitrage Calculator'!$B$21)</x:f>
        <x:v>16.816438356164387</x:v>
      </x:c>
      <x:c r="H19" s="225" t="n">
        <x:f>G19*IF('Arbitrage Calculator'!$B$19="Monthly",E19,'Arbitrage Calculator'!$B$20)</x:f>
        <x:v>4624.520547945206</x:v>
      </x:c>
      <x:c r="I19" s="200"/>
      <x:c r="J19" s="225" t="n">
        <x:f>H19*'Arbitrage Calculator'!$F$44+G19*'Arbitrage Calculator'!$F$45-'Arbitrage Calculator'!$F$30/12</x:f>
        <x:v>-203.5513698630134</x:v>
      </x:c>
    </x:row>
    <x:row r="20" ht="25" customHeight="1">
      <x:c r="A20" s="200" t="str">
        <x:v>Aug</x:v>
      </x:c>
      <x:c r="B20" s="200" t="n">
        <x:v>31</x:v>
      </x:c>
      <x:c r="C20" s="200" t="n">
        <x:v>31</x:v>
      </x:c>
      <x:c r="D20" s="224" t="n">
        <x:v>0.55</x:v>
      </x:c>
      <x:c r="E20" s="225" t="n">
        <x:v>275</x:v>
      </x:c>
      <x:c r="F20" s="226" t="n">
        <x:f>IF('Arbitrage Calculator'!$B$19="Monthly",C20,'Arbitrage Calculator'!$B$22*B20/365)</x:f>
        <x:v>30.575342465753426</x:v>
      </x:c>
      <x:c r="G20" s="226" t="n">
        <x:f>F20*IF('Arbitrage Calculator'!$B$19="Monthly",D20,'Arbitrage Calculator'!$B$21)</x:f>
        <x:v>16.816438356164387</x:v>
      </x:c>
      <x:c r="H20" s="225" t="n">
        <x:f>G20*IF('Arbitrage Calculator'!$B$19="Monthly",E20,'Arbitrage Calculator'!$B$20)</x:f>
        <x:v>4624.520547945206</x:v>
      </x:c>
      <x:c r="I20" s="200"/>
      <x:c r="J20" s="225" t="n">
        <x:f>H20*'Arbitrage Calculator'!$F$44+G20*'Arbitrage Calculator'!$F$45-'Arbitrage Calculator'!$F$30/12</x:f>
        <x:v>-203.5513698630134</x:v>
      </x:c>
    </x:row>
    <x:row r="21" ht="25" customHeight="1">
      <x:c r="A21" s="200" t="str">
        <x:v>Sep</x:v>
      </x:c>
      <x:c r="B21" s="200" t="n">
        <x:v>30</x:v>
      </x:c>
      <x:c r="C21" s="200" t="n">
        <x:v>30</x:v>
      </x:c>
      <x:c r="D21" s="224" t="n">
        <x:v>0.55</x:v>
      </x:c>
      <x:c r="E21" s="225" t="n">
        <x:v>275</x:v>
      </x:c>
      <x:c r="F21" s="226" t="n">
        <x:f>IF('Arbitrage Calculator'!$B$19="Monthly",C21,'Arbitrage Calculator'!$B$22*B21/365)</x:f>
        <x:v>29.589041095890412</x:v>
      </x:c>
      <x:c r="G21" s="226" t="n">
        <x:f>F21*IF('Arbitrage Calculator'!$B$19="Monthly",D21,'Arbitrage Calculator'!$B$21)</x:f>
        <x:v>16.27397260273973</x:v>
      </x:c>
      <x:c r="H21" s="225" t="n">
        <x:f>G21*IF('Arbitrage Calculator'!$B$19="Monthly",E21,'Arbitrage Calculator'!$B$20)</x:f>
        <x:v>4475.342465753425</x:v>
      </x:c>
      <x:c r="I21" s="200"/>
      <x:c r="J21" s="225" t="n">
        <x:f>H21*'Arbitrage Calculator'!$F$44+G21*'Arbitrage Calculator'!$F$45-'Arbitrage Calculator'!$F$30/12</x:f>
        <x:v>-300.85616438356146</x:v>
      </x:c>
    </x:row>
    <x:row r="22" ht="25" customHeight="1">
      <x:c r="A22" s="200" t="str">
        <x:v>Oct</x:v>
      </x:c>
      <x:c r="B22" s="200" t="n">
        <x:v>31</x:v>
      </x:c>
      <x:c r="C22" s="200" t="n">
        <x:v>31</x:v>
      </x:c>
      <x:c r="D22" s="224" t="n">
        <x:v>0.55</x:v>
      </x:c>
      <x:c r="E22" s="225" t="n">
        <x:v>275</x:v>
      </x:c>
      <x:c r="F22" s="226" t="n">
        <x:f>IF('Arbitrage Calculator'!$B$19="Monthly",C22,'Arbitrage Calculator'!$B$22*B22/365)</x:f>
        <x:v>30.575342465753426</x:v>
      </x:c>
      <x:c r="G22" s="226" t="n">
        <x:f>F22*IF('Arbitrage Calculator'!$B$19="Monthly",D22,'Arbitrage Calculator'!$B$21)</x:f>
        <x:v>16.816438356164387</x:v>
      </x:c>
      <x:c r="H22" s="225" t="n">
        <x:f>G22*IF('Arbitrage Calculator'!$B$19="Monthly",E22,'Arbitrage Calculator'!$B$20)</x:f>
        <x:v>4624.520547945206</x:v>
      </x:c>
      <x:c r="I22" s="200"/>
      <x:c r="J22" s="225" t="n">
        <x:f>H22*'Arbitrage Calculator'!$F$44+G22*'Arbitrage Calculator'!$F$45-'Arbitrage Calculator'!$F$30/12</x:f>
        <x:v>-203.5513698630134</x:v>
      </x:c>
    </x:row>
    <x:row r="23" ht="25" customHeight="1">
      <x:c r="A23" s="200" t="str">
        <x:v>Nov</x:v>
      </x:c>
      <x:c r="B23" s="200" t="n">
        <x:v>30</x:v>
      </x:c>
      <x:c r="C23" s="200" t="n">
        <x:v>30</x:v>
      </x:c>
      <x:c r="D23" s="224" t="n">
        <x:v>0.55</x:v>
      </x:c>
      <x:c r="E23" s="225" t="n">
        <x:v>275</x:v>
      </x:c>
      <x:c r="F23" s="226" t="n">
        <x:f>IF('Arbitrage Calculator'!$B$19="Monthly",C23,'Arbitrage Calculator'!$B$22*B23/365)</x:f>
        <x:v>29.589041095890412</x:v>
      </x:c>
      <x:c r="G23" s="226" t="n">
        <x:f>F23*IF('Arbitrage Calculator'!$B$19="Monthly",D23,'Arbitrage Calculator'!$B$21)</x:f>
        <x:v>16.27397260273973</x:v>
      </x:c>
      <x:c r="H23" s="225" t="n">
        <x:f>G23*IF('Arbitrage Calculator'!$B$19="Monthly",E23,'Arbitrage Calculator'!$B$20)</x:f>
        <x:v>4475.342465753425</x:v>
      </x:c>
      <x:c r="I23" s="200"/>
      <x:c r="J23" s="225" t="n">
        <x:f>H23*'Arbitrage Calculator'!$F$44+G23*'Arbitrage Calculator'!$F$45-'Arbitrage Calculator'!$F$30/12</x:f>
        <x:v>-300.85616438356146</x:v>
      </x:c>
    </x:row>
    <x:row r="24" ht="25" customHeight="1">
      <x:c r="A24" s="200" t="str">
        <x:v>Dec</x:v>
      </x:c>
      <x:c r="B24" s="200" t="n">
        <x:v>31</x:v>
      </x:c>
      <x:c r="C24" s="200" t="n">
        <x:v>31</x:v>
      </x:c>
      <x:c r="D24" s="224" t="n">
        <x:v>0.55</x:v>
      </x:c>
      <x:c r="E24" s="225" t="n">
        <x:v>275</x:v>
      </x:c>
      <x:c r="F24" s="226" t="n">
        <x:f>IF('Arbitrage Calculator'!$B$19="Monthly",C24,'Arbitrage Calculator'!$B$22*B24/365)</x:f>
        <x:v>30.575342465753426</x:v>
      </x:c>
      <x:c r="G24" s="226" t="n">
        <x:f>F24*IF('Arbitrage Calculator'!$B$19="Monthly",D24,'Arbitrage Calculator'!$B$21)</x:f>
        <x:v>16.816438356164387</x:v>
      </x:c>
      <x:c r="H24" s="225" t="n">
        <x:f>G24*IF('Arbitrage Calculator'!$B$19="Monthly",E24,'Arbitrage Calculator'!$B$20)</x:f>
        <x:v>4624.520547945206</x:v>
      </x:c>
      <x:c r="I24" s="200"/>
      <x:c r="J24" s="225" t="n">
        <x:f>H24*'Arbitrage Calculator'!$F$44+G24*'Arbitrage Calculator'!$F$45-'Arbitrage Calculator'!$F$30/12</x:f>
        <x:v>-203.5513698630134</x:v>
      </x:c>
    </x:row>
    <x:row r="25" ht="25" customHeight="1">
      <x:c r="A25" s="200"/>
      <x:c r="B25" s="200"/>
      <x:c r="C25" s="200"/>
      <x:c r="D25" s="200"/>
      <x:c r="E25" s="200"/>
      <x:c r="F25" s="200"/>
      <x:c r="G25" s="200"/>
      <x:c r="H25" s="200"/>
      <x:c r="I25" s="200"/>
      <x:c r="J25" s="200"/>
    </x:row>
    <x:row r="26" ht="25" customHeight="1">
      <x:c r="A26" s="199" t="str">
        <x:v>Annual totals</x:v>
      </x:c>
      <x:c r="B26" s="199"/>
      <x:c r="C26" s="199"/>
      <x:c r="D26" s="199"/>
      <x:c r="E26" s="199"/>
      <x:c r="F26" s="247" t="n">
        <x:f>SUM(F13:F24)</x:f>
        <x:v>360</x:v>
      </x:c>
      <x:c r="G26" s="247" t="n">
        <x:f>SUM(G13:G24)</x:f>
        <x:v>198</x:v>
      </x:c>
      <x:c r="H26" s="221" t="n">
        <x:f>SUM(H13:H24)</x:f>
        <x:v>54450.00000000001</x:v>
      </x:c>
      <x:c r="I26" s="199"/>
      <x:c r="J26" s="221" t="n">
        <x:f>SUM(J13:J24)</x:f>
        <x:v>-3123.7499999999973</x:v>
      </x:c>
    </x:row>
    <x:row r="27" ht="25" customHeight="1">
      <x:c r="A27" s="200"/>
      <x:c r="B27" s="200"/>
      <x:c r="C27" s="200"/>
      <x:c r="D27" s="200"/>
      <x:c r="E27" s="200"/>
      <x:c r="F27" s="200"/>
      <x:c r="G27" s="200"/>
      <x:c r="H27" s="200"/>
      <x:c r="I27" s="200"/>
      <x:c r="J27" s="200"/>
    </x:row>
    <x:row r="28" ht="25" customHeight="1">
      <x:c r="A28" s="200"/>
      <x:c r="B28" s="200"/>
      <x:c r="C28" s="200"/>
      <x:c r="D28" s="200"/>
      <x:c r="E28" s="200"/>
      <x:c r="F28" s="200"/>
      <x:c r="G28" s="200"/>
      <x:c r="H28" s="200"/>
      <x:c r="I28" s="200"/>
      <x:c r="J28" s="200"/>
    </x:row>
    <x:row r="29" ht="25" customHeight="1">
      <x:c r="A29" s="199" t="str">
        <x:v>PROPERTY OWNERSHIP CALCULATOR</x:v>
      </x:c>
      <x:c r="B29" s="199" t="str">
        <x:v>PROPERTY OWNERSHIP CALCULATOR</x:v>
      </x:c>
      <x:c r="C29" s="199" t="str">
        <x:v>PROPERTY OWNERSHIP CALCULATOR</x:v>
      </x:c>
      <x:c r="D29" s="199" t="str">
        <x:v>PROPERTY OWNERSHIP CALCULATOR</x:v>
      </x:c>
      <x:c r="E29" s="199" t="str">
        <x:v>PROPERTY OWNERSHIP CALCULATOR</x:v>
      </x:c>
      <x:c r="F29" s="199" t="str">
        <x:v>PROPERTY OWNERSHIP CALCULATOR</x:v>
      </x:c>
      <x:c r="G29" s="199" t="str">
        <x:v>PROPERTY OWNERSHIP CALCULATOR</x:v>
      </x:c>
      <x:c r="H29" s="199" t="str">
        <x:v>PROPERTY OWNERSHIP CALCULATOR</x:v>
      </x:c>
      <x:c r="I29" s="199" t="str">
        <x:v>PROPERTY OWNERSHIP CALCULATOR</x:v>
      </x:c>
      <x:c r="J29" s="199" t="str">
        <x:v>PROPERTY OWNERSHIP CALCULATOR</x:v>
      </x:c>
    </x:row>
    <x:row r="30" ht="35" customHeight="1">
      <x:c r="A30" s="199" t="str">
        <x:v>Month</x:v>
      </x:c>
      <x:c r="B30" s="199" t="str">
        <x:v>Calendar nights</x:v>
      </x:c>
      <x:c r="C30" s="199" t="str">
        <x:v>Available input</x:v>
      </x:c>
      <x:c r="D30" s="199" t="str">
        <x:v>Occupancy input</x:v>
      </x:c>
      <x:c r="E30" s="199" t="str">
        <x:v>ADR input</x:v>
      </x:c>
      <x:c r="F30" s="199" t="str">
        <x:v>Used available</x:v>
      </x:c>
      <x:c r="G30" s="199" t="str">
        <x:v>Booked nights</x:v>
      </x:c>
      <x:c r="H30" s="199" t="str">
        <x:v>Room revenue</x:v>
      </x:c>
      <x:c r="I30" s="199" t="str"/>
      <x:c r="J30" s="199" t="str">
        <x:v>Net cash flow</x:v>
      </x:c>
    </x:row>
    <x:row r="31" ht="25" customHeight="1">
      <x:c r="A31" s="200" t="str">
        <x:v>Jan</x:v>
      </x:c>
      <x:c r="B31" s="200" t="n">
        <x:v>31</x:v>
      </x:c>
      <x:c r="C31" s="200" t="n">
        <x:v>31</x:v>
      </x:c>
      <x:c r="D31" s="224" t="n">
        <x:v>0.55</x:v>
      </x:c>
      <x:c r="E31" s="225" t="n">
        <x:v>275</x:v>
      </x:c>
      <x:c r="F31" s="226" t="n">
        <x:f>IF('Property Ownership Calculator'!$B$19="Monthly",C31,'Property Ownership Calculator'!$B$22*B31/365)</x:f>
        <x:v>30.575342465753426</x:v>
      </x:c>
      <x:c r="G31" s="226" t="n">
        <x:f>F31*IF('Property Ownership Calculator'!$B$19="Monthly",D31,'Property Ownership Calculator'!$B$21)</x:f>
        <x:v>16.816438356164387</x:v>
      </x:c>
      <x:c r="H31" s="225" t="n">
        <x:f>G31*IF('Property Ownership Calculator'!$B$19="Monthly",E31,'Property Ownership Calculator'!$B$20)</x:f>
        <x:v>4624.520547945206</x:v>
      </x:c>
      <x:c r="I31" s="200"/>
      <x:c r="J31" s="225" t="n">
        <x:f>H31*'Property Ownership Calculator'!$F$47+G31*'Property Ownership Calculator'!$F$48-('Property Ownership Calculator'!$F$30+'Property Ownership Calculator'!$F$33)/12</x:f>
        <x:v>-666.0638391080029</x:v>
      </x:c>
    </x:row>
    <x:row r="32" ht="25" customHeight="1">
      <x:c r="A32" s="200" t="str">
        <x:v>Feb</x:v>
      </x:c>
      <x:c r="B32" s="200" t="n">
        <x:v>28</x:v>
      </x:c>
      <x:c r="C32" s="200" t="n">
        <x:v>28</x:v>
      </x:c>
      <x:c r="D32" s="224" t="n">
        <x:v>0.55</x:v>
      </x:c>
      <x:c r="E32" s="225" t="n">
        <x:v>275</x:v>
      </x:c>
      <x:c r="F32" s="226" t="n">
        <x:f>IF('Property Ownership Calculator'!$B$19="Monthly",C32,'Property Ownership Calculator'!$B$22*B32/365)</x:f>
        <x:v>27.616438356164384</x:v>
      </x:c>
      <x:c r="G32" s="226" t="n">
        <x:f>F32*IF('Property Ownership Calculator'!$B$19="Monthly",D32,'Property Ownership Calculator'!$B$21)</x:f>
        <x:v>15.189041095890412</x:v>
      </x:c>
      <x:c r="H32" s="225" t="n">
        <x:f>G32*IF('Property Ownership Calculator'!$B$19="Monthly",E32,'Property Ownership Calculator'!$B$20)</x:f>
        <x:v>4176.986301369863</x:v>
      </x:c>
      <x:c r="I32" s="200"/>
      <x:c r="J32" s="225" t="n">
        <x:f>H32*'Property Ownership Calculator'!$F$47+G32*'Property Ownership Calculator'!$F$48-('Property Ownership Calculator'!$F$30+'Property Ownership Calculator'!$F$33)/12</x:f>
        <x:v>-904.2741130806057</x:v>
      </x:c>
    </x:row>
    <x:row r="33" ht="25" customHeight="1">
      <x:c r="A33" s="200" t="str">
        <x:v>Mar</x:v>
      </x:c>
      <x:c r="B33" s="200" t="n">
        <x:v>31</x:v>
      </x:c>
      <x:c r="C33" s="200" t="n">
        <x:v>31</x:v>
      </x:c>
      <x:c r="D33" s="224" t="n">
        <x:v>0.55</x:v>
      </x:c>
      <x:c r="E33" s="225" t="n">
        <x:v>275</x:v>
      </x:c>
      <x:c r="F33" s="226" t="n">
        <x:f>IF('Property Ownership Calculator'!$B$19="Monthly",C33,'Property Ownership Calculator'!$B$22*B33/365)</x:f>
        <x:v>30.575342465753426</x:v>
      </x:c>
      <x:c r="G33" s="226" t="n">
        <x:f>F33*IF('Property Ownership Calculator'!$B$19="Monthly",D33,'Property Ownership Calculator'!$B$21)</x:f>
        <x:v>16.816438356164387</x:v>
      </x:c>
      <x:c r="H33" s="225" t="n">
        <x:f>G33*IF('Property Ownership Calculator'!$B$19="Monthly",E33,'Property Ownership Calculator'!$B$20)</x:f>
        <x:v>4624.520547945206</x:v>
      </x:c>
      <x:c r="I33" s="200"/>
      <x:c r="J33" s="225" t="n">
        <x:f>H33*'Property Ownership Calculator'!$F$47+G33*'Property Ownership Calculator'!$F$48-('Property Ownership Calculator'!$F$30+'Property Ownership Calculator'!$F$33)/12</x:f>
        <x:v>-666.0638391080029</x:v>
      </x:c>
    </x:row>
    <x:row r="34" ht="25" customHeight="1">
      <x:c r="A34" s="200" t="str">
        <x:v>Apr</x:v>
      </x:c>
      <x:c r="B34" s="200" t="n">
        <x:v>30</x:v>
      </x:c>
      <x:c r="C34" s="200" t="n">
        <x:v>30</x:v>
      </x:c>
      <x:c r="D34" s="224" t="n">
        <x:v>0.55</x:v>
      </x:c>
      <x:c r="E34" s="225" t="n">
        <x:v>275</x:v>
      </x:c>
      <x:c r="F34" s="226" t="n">
        <x:f>IF('Property Ownership Calculator'!$B$19="Monthly",C34,'Property Ownership Calculator'!$B$22*B34/365)</x:f>
        <x:v>29.589041095890412</x:v>
      </x:c>
      <x:c r="G34" s="226" t="n">
        <x:f>F34*IF('Property Ownership Calculator'!$B$19="Monthly",D34,'Property Ownership Calculator'!$B$21)</x:f>
        <x:v>16.27397260273973</x:v>
      </x:c>
      <x:c r="H34" s="225" t="n">
        <x:f>G34*IF('Property Ownership Calculator'!$B$19="Monthly",E34,'Property Ownership Calculator'!$B$20)</x:f>
        <x:v>4475.342465753425</x:v>
      </x:c>
      <x:c r="I34" s="200"/>
      <x:c r="J34" s="225" t="n">
        <x:f>H34*'Property Ownership Calculator'!$F$47+G34*'Property Ownership Calculator'!$F$48-('Property Ownership Calculator'!$F$30+'Property Ownership Calculator'!$F$33)/12</x:f>
        <x:v>-745.4672637655372</x:v>
      </x:c>
    </x:row>
    <x:row r="35" ht="25" customHeight="1">
      <x:c r="A35" s="200" t="str">
        <x:v>May</x:v>
      </x:c>
      <x:c r="B35" s="200" t="n">
        <x:v>31</x:v>
      </x:c>
      <x:c r="C35" s="200" t="n">
        <x:v>31</x:v>
      </x:c>
      <x:c r="D35" s="224" t="n">
        <x:v>0.55</x:v>
      </x:c>
      <x:c r="E35" s="225" t="n">
        <x:v>275</x:v>
      </x:c>
      <x:c r="F35" s="226" t="n">
        <x:f>IF('Property Ownership Calculator'!$B$19="Monthly",C35,'Property Ownership Calculator'!$B$22*B35/365)</x:f>
        <x:v>30.575342465753426</x:v>
      </x:c>
      <x:c r="G35" s="226" t="n">
        <x:f>F35*IF('Property Ownership Calculator'!$B$19="Monthly",D35,'Property Ownership Calculator'!$B$21)</x:f>
        <x:v>16.816438356164387</x:v>
      </x:c>
      <x:c r="H35" s="225" t="n">
        <x:f>G35*IF('Property Ownership Calculator'!$B$19="Monthly",E35,'Property Ownership Calculator'!$B$20)</x:f>
        <x:v>4624.520547945206</x:v>
      </x:c>
      <x:c r="I35" s="200"/>
      <x:c r="J35" s="225" t="n">
        <x:f>H35*'Property Ownership Calculator'!$F$47+G35*'Property Ownership Calculator'!$F$48-('Property Ownership Calculator'!$F$30+'Property Ownership Calculator'!$F$33)/12</x:f>
        <x:v>-666.0638391080029</x:v>
      </x:c>
    </x:row>
    <x:row r="36" ht="25" customHeight="1">
      <x:c r="A36" s="200" t="str">
        <x:v>Jun</x:v>
      </x:c>
      <x:c r="B36" s="200" t="n">
        <x:v>30</x:v>
      </x:c>
      <x:c r="C36" s="200" t="n">
        <x:v>30</x:v>
      </x:c>
      <x:c r="D36" s="224" t="n">
        <x:v>0.55</x:v>
      </x:c>
      <x:c r="E36" s="225" t="n">
        <x:v>275</x:v>
      </x:c>
      <x:c r="F36" s="226" t="n">
        <x:f>IF('Property Ownership Calculator'!$B$19="Monthly",C36,'Property Ownership Calculator'!$B$22*B36/365)</x:f>
        <x:v>29.589041095890412</x:v>
      </x:c>
      <x:c r="G36" s="226" t="n">
        <x:f>F36*IF('Property Ownership Calculator'!$B$19="Monthly",D36,'Property Ownership Calculator'!$B$21)</x:f>
        <x:v>16.27397260273973</x:v>
      </x:c>
      <x:c r="H36" s="225" t="n">
        <x:f>G36*IF('Property Ownership Calculator'!$B$19="Monthly",E36,'Property Ownership Calculator'!$B$20)</x:f>
        <x:v>4475.342465753425</x:v>
      </x:c>
      <x:c r="I36" s="200"/>
      <x:c r="J36" s="225" t="n">
        <x:f>H36*'Property Ownership Calculator'!$F$47+G36*'Property Ownership Calculator'!$F$48-('Property Ownership Calculator'!$F$30+'Property Ownership Calculator'!$F$33)/12</x:f>
        <x:v>-745.4672637655372</x:v>
      </x:c>
    </x:row>
    <x:row r="37" ht="25" customHeight="1">
      <x:c r="A37" s="200" t="str">
        <x:v>Jul</x:v>
      </x:c>
      <x:c r="B37" s="200" t="n">
        <x:v>31</x:v>
      </x:c>
      <x:c r="C37" s="200" t="n">
        <x:v>31</x:v>
      </x:c>
      <x:c r="D37" s="224" t="n">
        <x:v>0.55</x:v>
      </x:c>
      <x:c r="E37" s="225" t="n">
        <x:v>275</x:v>
      </x:c>
      <x:c r="F37" s="226" t="n">
        <x:f>IF('Property Ownership Calculator'!$B$19="Monthly",C37,'Property Ownership Calculator'!$B$22*B37/365)</x:f>
        <x:v>30.575342465753426</x:v>
      </x:c>
      <x:c r="G37" s="226" t="n">
        <x:f>F37*IF('Property Ownership Calculator'!$B$19="Monthly",D37,'Property Ownership Calculator'!$B$21)</x:f>
        <x:v>16.816438356164387</x:v>
      </x:c>
      <x:c r="H37" s="225" t="n">
        <x:f>G37*IF('Property Ownership Calculator'!$B$19="Monthly",E37,'Property Ownership Calculator'!$B$20)</x:f>
        <x:v>4624.520547945206</x:v>
      </x:c>
      <x:c r="I37" s="200"/>
      <x:c r="J37" s="225" t="n">
        <x:f>H37*'Property Ownership Calculator'!$F$47+G37*'Property Ownership Calculator'!$F$48-('Property Ownership Calculator'!$F$30+'Property Ownership Calculator'!$F$33)/12</x:f>
        <x:v>-666.0638391080029</x:v>
      </x:c>
    </x:row>
    <x:row r="38" ht="25" customHeight="1">
      <x:c r="A38" s="200" t="str">
        <x:v>Aug</x:v>
      </x:c>
      <x:c r="B38" s="200" t="n">
        <x:v>31</x:v>
      </x:c>
      <x:c r="C38" s="200" t="n">
        <x:v>31</x:v>
      </x:c>
      <x:c r="D38" s="224" t="n">
        <x:v>0.55</x:v>
      </x:c>
      <x:c r="E38" s="225" t="n">
        <x:v>275</x:v>
      </x:c>
      <x:c r="F38" s="226" t="n">
        <x:f>IF('Property Ownership Calculator'!$B$19="Monthly",C38,'Property Ownership Calculator'!$B$22*B38/365)</x:f>
        <x:v>30.575342465753426</x:v>
      </x:c>
      <x:c r="G38" s="226" t="n">
        <x:f>F38*IF('Property Ownership Calculator'!$B$19="Monthly",D38,'Property Ownership Calculator'!$B$21)</x:f>
        <x:v>16.816438356164387</x:v>
      </x:c>
      <x:c r="H38" s="225" t="n">
        <x:f>G38*IF('Property Ownership Calculator'!$B$19="Monthly",E38,'Property Ownership Calculator'!$B$20)</x:f>
        <x:v>4624.520547945206</x:v>
      </x:c>
      <x:c r="I38" s="200"/>
      <x:c r="J38" s="225" t="n">
        <x:f>H38*'Property Ownership Calculator'!$F$47+G38*'Property Ownership Calculator'!$F$48-('Property Ownership Calculator'!$F$30+'Property Ownership Calculator'!$F$33)/12</x:f>
        <x:v>-666.0638391080029</x:v>
      </x:c>
    </x:row>
    <x:row r="39" ht="25" customHeight="1">
      <x:c r="A39" s="200" t="str">
        <x:v>Sep</x:v>
      </x:c>
      <x:c r="B39" s="200" t="n">
        <x:v>30</x:v>
      </x:c>
      <x:c r="C39" s="200" t="n">
        <x:v>30</x:v>
      </x:c>
      <x:c r="D39" s="224" t="n">
        <x:v>0.55</x:v>
      </x:c>
      <x:c r="E39" s="225" t="n">
        <x:v>275</x:v>
      </x:c>
      <x:c r="F39" s="226" t="n">
        <x:f>IF('Property Ownership Calculator'!$B$19="Monthly",C39,'Property Ownership Calculator'!$B$22*B39/365)</x:f>
        <x:v>29.589041095890412</x:v>
      </x:c>
      <x:c r="G39" s="226" t="n">
        <x:f>F39*IF('Property Ownership Calculator'!$B$19="Monthly",D39,'Property Ownership Calculator'!$B$21)</x:f>
        <x:v>16.27397260273973</x:v>
      </x:c>
      <x:c r="H39" s="225" t="n">
        <x:f>G39*IF('Property Ownership Calculator'!$B$19="Monthly",E39,'Property Ownership Calculator'!$B$20)</x:f>
        <x:v>4475.342465753425</x:v>
      </x:c>
      <x:c r="I39" s="200"/>
      <x:c r="J39" s="225" t="n">
        <x:f>H39*'Property Ownership Calculator'!$F$47+G39*'Property Ownership Calculator'!$F$48-('Property Ownership Calculator'!$F$30+'Property Ownership Calculator'!$F$33)/12</x:f>
        <x:v>-745.4672637655372</x:v>
      </x:c>
    </x:row>
    <x:row r="40" ht="25" customHeight="1">
      <x:c r="A40" s="200" t="str">
        <x:v>Oct</x:v>
      </x:c>
      <x:c r="B40" s="200" t="n">
        <x:v>31</x:v>
      </x:c>
      <x:c r="C40" s="200" t="n">
        <x:v>31</x:v>
      </x:c>
      <x:c r="D40" s="224" t="n">
        <x:v>0.55</x:v>
      </x:c>
      <x:c r="E40" s="225" t="n">
        <x:v>275</x:v>
      </x:c>
      <x:c r="F40" s="226" t="n">
        <x:f>IF('Property Ownership Calculator'!$B$19="Monthly",C40,'Property Ownership Calculator'!$B$22*B40/365)</x:f>
        <x:v>30.575342465753426</x:v>
      </x:c>
      <x:c r="G40" s="226" t="n">
        <x:f>F40*IF('Property Ownership Calculator'!$B$19="Monthly",D40,'Property Ownership Calculator'!$B$21)</x:f>
        <x:v>16.816438356164387</x:v>
      </x:c>
      <x:c r="H40" s="225" t="n">
        <x:f>G40*IF('Property Ownership Calculator'!$B$19="Monthly",E40,'Property Ownership Calculator'!$B$20)</x:f>
        <x:v>4624.520547945206</x:v>
      </x:c>
      <x:c r="I40" s="200"/>
      <x:c r="J40" s="225" t="n">
        <x:f>H40*'Property Ownership Calculator'!$F$47+G40*'Property Ownership Calculator'!$F$48-('Property Ownership Calculator'!$F$30+'Property Ownership Calculator'!$F$33)/12</x:f>
        <x:v>-666.0638391080029</x:v>
      </x:c>
    </x:row>
    <x:row r="41" ht="25" customHeight="1">
      <x:c r="A41" s="200" t="str">
        <x:v>Nov</x:v>
      </x:c>
      <x:c r="B41" s="200" t="n">
        <x:v>30</x:v>
      </x:c>
      <x:c r="C41" s="200" t="n">
        <x:v>30</x:v>
      </x:c>
      <x:c r="D41" s="224" t="n">
        <x:v>0.55</x:v>
      </x:c>
      <x:c r="E41" s="225" t="n">
        <x:v>275</x:v>
      </x:c>
      <x:c r="F41" s="226" t="n">
        <x:f>IF('Property Ownership Calculator'!$B$19="Monthly",C41,'Property Ownership Calculator'!$B$22*B41/365)</x:f>
        <x:v>29.589041095890412</x:v>
      </x:c>
      <x:c r="G41" s="226" t="n">
        <x:f>F41*IF('Property Ownership Calculator'!$B$19="Monthly",D41,'Property Ownership Calculator'!$B$21)</x:f>
        <x:v>16.27397260273973</x:v>
      </x:c>
      <x:c r="H41" s="225" t="n">
        <x:f>G41*IF('Property Ownership Calculator'!$B$19="Monthly",E41,'Property Ownership Calculator'!$B$20)</x:f>
        <x:v>4475.342465753425</x:v>
      </x:c>
      <x:c r="I41" s="200"/>
      <x:c r="J41" s="225" t="n">
        <x:f>H41*'Property Ownership Calculator'!$F$47+G41*'Property Ownership Calculator'!$F$48-('Property Ownership Calculator'!$F$30+'Property Ownership Calculator'!$F$33)/12</x:f>
        <x:v>-745.4672637655372</x:v>
      </x:c>
    </x:row>
    <x:row r="42" ht="25" customHeight="1">
      <x:c r="A42" s="200" t="str">
        <x:v>Dec</x:v>
      </x:c>
      <x:c r="B42" s="200" t="n">
        <x:v>31</x:v>
      </x:c>
      <x:c r="C42" s="200" t="n">
        <x:v>31</x:v>
      </x:c>
      <x:c r="D42" s="224" t="n">
        <x:v>0.55</x:v>
      </x:c>
      <x:c r="E42" s="225" t="n">
        <x:v>275</x:v>
      </x:c>
      <x:c r="F42" s="226" t="n">
        <x:f>IF('Property Ownership Calculator'!$B$19="Monthly",C42,'Property Ownership Calculator'!$B$22*B42/365)</x:f>
        <x:v>30.575342465753426</x:v>
      </x:c>
      <x:c r="G42" s="226" t="n">
        <x:f>F42*IF('Property Ownership Calculator'!$B$19="Monthly",D42,'Property Ownership Calculator'!$B$21)</x:f>
        <x:v>16.816438356164387</x:v>
      </x:c>
      <x:c r="H42" s="225" t="n">
        <x:f>G42*IF('Property Ownership Calculator'!$B$19="Monthly",E42,'Property Ownership Calculator'!$B$20)</x:f>
        <x:v>4624.520547945206</x:v>
      </x:c>
      <x:c r="I42" s="200"/>
      <x:c r="J42" s="225" t="n">
        <x:f>H42*'Property Ownership Calculator'!$F$47+G42*'Property Ownership Calculator'!$F$48-('Property Ownership Calculator'!$F$30+'Property Ownership Calculator'!$F$33)/12</x:f>
        <x:v>-666.0638391080029</x:v>
      </x:c>
    </x:row>
    <x:row r="43" ht="25" customHeight="1">
      <x:c r="A43" s="200"/>
      <x:c r="B43" s="200"/>
      <x:c r="C43" s="200"/>
      <x:c r="D43" s="200"/>
      <x:c r="E43" s="200"/>
      <x:c r="F43" s="200"/>
      <x:c r="G43" s="200"/>
      <x:c r="H43" s="200"/>
      <x:c r="I43" s="200"/>
      <x:c r="J43" s="200"/>
    </x:row>
    <x:row r="44" ht="25" customHeight="1">
      <x:c r="A44" s="199" t="str">
        <x:v>Annual totals</x:v>
      </x:c>
      <x:c r="B44" s="199"/>
      <x:c r="C44" s="199"/>
      <x:c r="D44" s="199"/>
      <x:c r="E44" s="199"/>
      <x:c r="F44" s="247" t="n">
        <x:f>SUM(F31:F42)</x:f>
        <x:v>360</x:v>
      </x:c>
      <x:c r="G44" s="247" t="n">
        <x:f>SUM(G31:G42)</x:f>
        <x:v>198</x:v>
      </x:c>
      <x:c r="H44" s="221" t="n">
        <x:f>SUM(H31:H42)</x:f>
        <x:v>54450.00000000001</x:v>
      </x:c>
      <x:c r="I44" s="199"/>
      <x:c r="J44" s="221" t="n">
        <x:f>SUM(J31:J42)</x:f>
        <x:v>-8548.590041898773</x:v>
      </x:c>
    </x:row>
    <x:row r="45" ht="25" customHeight="1">
      <x:c r="A45" s="3"/>
      <x:c r="B45" s="3"/>
      <x:c r="C45" s="3"/>
      <x:c r="D45" s="3"/>
      <x:c r="E45" s="3"/>
      <x:c r="F45" s="3"/>
      <x:c r="G45" s="3"/>
      <x:c r="H45" s="3"/>
      <x:c r="I45" s="3"/>
      <x:c r="J45" s="3"/>
    </x:row>
    <x:row r="46" ht="25" customHeight="1">
      <x:c r="A46" s="3"/>
      <x:c r="B46" s="3"/>
      <x:c r="C46" s="3"/>
      <x:c r="D46" s="3"/>
      <x:c r="E46" s="3"/>
      <x:c r="F46" s="3"/>
      <x:c r="G46" s="3"/>
      <x:c r="H46" s="3"/>
      <x:c r="I46" s="3"/>
      <x:c r="J46" s="3"/>
    </x:row>
  </x:sheetData>
  <x:mergeCells>
    <x:mergeCell ref="A1:J2"/>
    <x:mergeCell ref="A3:J5"/>
    <x:mergeCell ref="A11:J11"/>
    <x:mergeCell ref="A29:J29"/>
  </x:mergeCells>
  <x:dataValidations count="72">
    <x:dataValidation type="whole" operator="between" sqref="C13">
      <x:formula1>0</x:formula1>
      <x:formula2>31</x:formula2>
    </x:dataValidation>
    <x:dataValidation type="decimal" operator="between" sqref="D13">
      <x:formula1>0</x:formula1>
      <x:formula2>1</x:formula2>
    </x:dataValidation>
    <x:dataValidation type="decimal" operator="between" sqref="E13">
      <x:formula1>0</x:formula1>
      <x:formula2>100000</x:formula2>
    </x:dataValidation>
    <x:dataValidation type="whole" operator="between" sqref="C14">
      <x:formula1>0</x:formula1>
      <x:formula2>28</x:formula2>
    </x:dataValidation>
    <x:dataValidation type="decimal" operator="between" sqref="D14">
      <x:formula1>0</x:formula1>
      <x:formula2>1</x:formula2>
    </x:dataValidation>
    <x:dataValidation type="decimal" operator="between" sqref="E14">
      <x:formula1>0</x:formula1>
      <x:formula2>100000</x:formula2>
    </x:dataValidation>
    <x:dataValidation type="whole" operator="between" sqref="C15">
      <x:formula1>0</x:formula1>
      <x:formula2>31</x:formula2>
    </x:dataValidation>
    <x:dataValidation type="decimal" operator="between" sqref="D15">
      <x:formula1>0</x:formula1>
      <x:formula2>1</x:formula2>
    </x:dataValidation>
    <x:dataValidation type="decimal" operator="between" sqref="E15">
      <x:formula1>0</x:formula1>
      <x:formula2>100000</x:formula2>
    </x:dataValidation>
    <x:dataValidation type="whole" operator="between" sqref="C16">
      <x:formula1>0</x:formula1>
      <x:formula2>30</x:formula2>
    </x:dataValidation>
    <x:dataValidation type="decimal" operator="between" sqref="D16">
      <x:formula1>0</x:formula1>
      <x:formula2>1</x:formula2>
    </x:dataValidation>
    <x:dataValidation type="decimal" operator="between" sqref="E16">
      <x:formula1>0</x:formula1>
      <x:formula2>100000</x:formula2>
    </x:dataValidation>
    <x:dataValidation type="whole" operator="between" sqref="C17">
      <x:formula1>0</x:formula1>
      <x:formula2>31</x:formula2>
    </x:dataValidation>
    <x:dataValidation type="decimal" operator="between" sqref="D17">
      <x:formula1>0</x:formula1>
      <x:formula2>1</x:formula2>
    </x:dataValidation>
    <x:dataValidation type="decimal" operator="between" sqref="E17">
      <x:formula1>0</x:formula1>
      <x:formula2>100000</x:formula2>
    </x:dataValidation>
    <x:dataValidation type="whole" operator="between" sqref="C18">
      <x:formula1>0</x:formula1>
      <x:formula2>30</x:formula2>
    </x:dataValidation>
    <x:dataValidation type="decimal" operator="between" sqref="D18">
      <x:formula1>0</x:formula1>
      <x:formula2>1</x:formula2>
    </x:dataValidation>
    <x:dataValidation type="decimal" operator="between" sqref="E18">
      <x:formula1>0</x:formula1>
      <x:formula2>100000</x:formula2>
    </x:dataValidation>
    <x:dataValidation type="whole" operator="between" sqref="C19">
      <x:formula1>0</x:formula1>
      <x:formula2>31</x:formula2>
    </x:dataValidation>
    <x:dataValidation type="decimal" operator="between" sqref="D19">
      <x:formula1>0</x:formula1>
      <x:formula2>1</x:formula2>
    </x:dataValidation>
    <x:dataValidation type="decimal" operator="between" sqref="E19">
      <x:formula1>0</x:formula1>
      <x:formula2>100000</x:formula2>
    </x:dataValidation>
    <x:dataValidation type="whole" operator="between" sqref="C20">
      <x:formula1>0</x:formula1>
      <x:formula2>31</x:formula2>
    </x:dataValidation>
    <x:dataValidation type="decimal" operator="between" sqref="D20">
      <x:formula1>0</x:formula1>
      <x:formula2>1</x:formula2>
    </x:dataValidation>
    <x:dataValidation type="decimal" operator="between" sqref="E20">
      <x:formula1>0</x:formula1>
      <x:formula2>100000</x:formula2>
    </x:dataValidation>
    <x:dataValidation type="whole" operator="between" sqref="C21">
      <x:formula1>0</x:formula1>
      <x:formula2>30</x:formula2>
    </x:dataValidation>
    <x:dataValidation type="decimal" operator="between" sqref="D21">
      <x:formula1>0</x:formula1>
      <x:formula2>1</x:formula2>
    </x:dataValidation>
    <x:dataValidation type="decimal" operator="between" sqref="E21">
      <x:formula1>0</x:formula1>
      <x:formula2>100000</x:formula2>
    </x:dataValidation>
    <x:dataValidation type="whole" operator="between" sqref="C22">
      <x:formula1>0</x:formula1>
      <x:formula2>31</x:formula2>
    </x:dataValidation>
    <x:dataValidation type="decimal" operator="between" sqref="D22">
      <x:formula1>0</x:formula1>
      <x:formula2>1</x:formula2>
    </x:dataValidation>
    <x:dataValidation type="decimal" operator="between" sqref="E22">
      <x:formula1>0</x:formula1>
      <x:formula2>100000</x:formula2>
    </x:dataValidation>
    <x:dataValidation type="whole" operator="between" sqref="C23">
      <x:formula1>0</x:formula1>
      <x:formula2>30</x:formula2>
    </x:dataValidation>
    <x:dataValidation type="decimal" operator="between" sqref="D23">
      <x:formula1>0</x:formula1>
      <x:formula2>1</x:formula2>
    </x:dataValidation>
    <x:dataValidation type="decimal" operator="between" sqref="E23">
      <x:formula1>0</x:formula1>
      <x:formula2>100000</x:formula2>
    </x:dataValidation>
    <x:dataValidation type="whole" operator="between" sqref="C24">
      <x:formula1>0</x:formula1>
      <x:formula2>31</x:formula2>
    </x:dataValidation>
    <x:dataValidation type="decimal" operator="between" sqref="D24">
      <x:formula1>0</x:formula1>
      <x:formula2>1</x:formula2>
    </x:dataValidation>
    <x:dataValidation type="decimal" operator="between" sqref="E24">
      <x:formula1>0</x:formula1>
      <x:formula2>100000</x:formula2>
    </x:dataValidation>
    <x:dataValidation type="whole" operator="between" sqref="C31">
      <x:formula1>0</x:formula1>
      <x:formula2>31</x:formula2>
    </x:dataValidation>
    <x:dataValidation type="decimal" operator="between" sqref="D31">
      <x:formula1>0</x:formula1>
      <x:formula2>1</x:formula2>
    </x:dataValidation>
    <x:dataValidation type="decimal" operator="between" sqref="E31">
      <x:formula1>0</x:formula1>
      <x:formula2>100000</x:formula2>
    </x:dataValidation>
    <x:dataValidation type="whole" operator="between" sqref="C32">
      <x:formula1>0</x:formula1>
      <x:formula2>28</x:formula2>
    </x:dataValidation>
    <x:dataValidation type="decimal" operator="between" sqref="D32">
      <x:formula1>0</x:formula1>
      <x:formula2>1</x:formula2>
    </x:dataValidation>
    <x:dataValidation type="decimal" operator="between" sqref="E32">
      <x:formula1>0</x:formula1>
      <x:formula2>100000</x:formula2>
    </x:dataValidation>
    <x:dataValidation type="whole" operator="between" sqref="C33">
      <x:formula1>0</x:formula1>
      <x:formula2>31</x:formula2>
    </x:dataValidation>
    <x:dataValidation type="decimal" operator="between" sqref="D33">
      <x:formula1>0</x:formula1>
      <x:formula2>1</x:formula2>
    </x:dataValidation>
    <x:dataValidation type="decimal" operator="between" sqref="E33">
      <x:formula1>0</x:formula1>
      <x:formula2>100000</x:formula2>
    </x:dataValidation>
    <x:dataValidation type="whole" operator="between" sqref="C34">
      <x:formula1>0</x:formula1>
      <x:formula2>30</x:formula2>
    </x:dataValidation>
    <x:dataValidation type="decimal" operator="between" sqref="D34">
      <x:formula1>0</x:formula1>
      <x:formula2>1</x:formula2>
    </x:dataValidation>
    <x:dataValidation type="decimal" operator="between" sqref="E34">
      <x:formula1>0</x:formula1>
      <x:formula2>100000</x:formula2>
    </x:dataValidation>
    <x:dataValidation type="whole" operator="between" sqref="C35">
      <x:formula1>0</x:formula1>
      <x:formula2>31</x:formula2>
    </x:dataValidation>
    <x:dataValidation type="decimal" operator="between" sqref="D35">
      <x:formula1>0</x:formula1>
      <x:formula2>1</x:formula2>
    </x:dataValidation>
    <x:dataValidation type="decimal" operator="between" sqref="E35">
      <x:formula1>0</x:formula1>
      <x:formula2>100000</x:formula2>
    </x:dataValidation>
    <x:dataValidation type="whole" operator="between" sqref="C36">
      <x:formula1>0</x:formula1>
      <x:formula2>30</x:formula2>
    </x:dataValidation>
    <x:dataValidation type="decimal" operator="between" sqref="D36">
      <x:formula1>0</x:formula1>
      <x:formula2>1</x:formula2>
    </x:dataValidation>
    <x:dataValidation type="decimal" operator="between" sqref="E36">
      <x:formula1>0</x:formula1>
      <x:formula2>100000</x:formula2>
    </x:dataValidation>
    <x:dataValidation type="whole" operator="between" sqref="C37">
      <x:formula1>0</x:formula1>
      <x:formula2>31</x:formula2>
    </x:dataValidation>
    <x:dataValidation type="decimal" operator="between" sqref="D37">
      <x:formula1>0</x:formula1>
      <x:formula2>1</x:formula2>
    </x:dataValidation>
    <x:dataValidation type="decimal" operator="between" sqref="E37">
      <x:formula1>0</x:formula1>
      <x:formula2>100000</x:formula2>
    </x:dataValidation>
    <x:dataValidation type="whole" operator="between" sqref="C38">
      <x:formula1>0</x:formula1>
      <x:formula2>31</x:formula2>
    </x:dataValidation>
    <x:dataValidation type="decimal" operator="between" sqref="D38">
      <x:formula1>0</x:formula1>
      <x:formula2>1</x:formula2>
    </x:dataValidation>
    <x:dataValidation type="decimal" operator="between" sqref="E38">
      <x:formula1>0</x:formula1>
      <x:formula2>100000</x:formula2>
    </x:dataValidation>
    <x:dataValidation type="whole" operator="between" sqref="C39">
      <x:formula1>0</x:formula1>
      <x:formula2>30</x:formula2>
    </x:dataValidation>
    <x:dataValidation type="decimal" operator="between" sqref="D39">
      <x:formula1>0</x:formula1>
      <x:formula2>1</x:formula2>
    </x:dataValidation>
    <x:dataValidation type="decimal" operator="between" sqref="E39">
      <x:formula1>0</x:formula1>
      <x:formula2>100000</x:formula2>
    </x:dataValidation>
    <x:dataValidation type="whole" operator="between" sqref="C40">
      <x:formula1>0</x:formula1>
      <x:formula2>31</x:formula2>
    </x:dataValidation>
    <x:dataValidation type="decimal" operator="between" sqref="D40">
      <x:formula1>0</x:formula1>
      <x:formula2>1</x:formula2>
    </x:dataValidation>
    <x:dataValidation type="decimal" operator="between" sqref="E40">
      <x:formula1>0</x:formula1>
      <x:formula2>100000</x:formula2>
    </x:dataValidation>
    <x:dataValidation type="whole" operator="between" sqref="C41">
      <x:formula1>0</x:formula1>
      <x:formula2>30</x:formula2>
    </x:dataValidation>
    <x:dataValidation type="decimal" operator="between" sqref="D41">
      <x:formula1>0</x:formula1>
      <x:formula2>1</x:formula2>
    </x:dataValidation>
    <x:dataValidation type="decimal" operator="between" sqref="E41">
      <x:formula1>0</x:formula1>
      <x:formula2>100000</x:formula2>
    </x:dataValidation>
    <x:dataValidation type="whole" operator="between" sqref="C42">
      <x:formula1>0</x:formula1>
      <x:formula2>31</x:formula2>
    </x:dataValidation>
    <x:dataValidation type="decimal" operator="between" sqref="D42">
      <x:formula1>0</x:formula1>
      <x:formula2>1</x:formula2>
    </x:dataValidation>
    <x:dataValidation type="decimal" operator="between" sqref="E42">
      <x:formula1>0</x:formula1>
      <x:formula2>100000</x:formula2>
    </x:dataValidation>
  </x:dataValidations>
  <x:pageMargins left="0.7" right="0.7" top="0.75" bottom="0.75" header="0.3" footer="0.3"/>
  <x:legacyDrawing xmlns:r="http://schemas.openxmlformats.org/officeDocument/2006/relationships" r:id="Rd82ac7a8be814453"/>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s>
  <x:sheetData>
    <x:row r="1" ht="28" customHeight="1">
      <x:c r="A1" s="202" t="str">
        <x:v>FINANCING | First 60 payments</x:v>
      </x:c>
      <x:c r="B1" s="202" t="str">
        <x:v>FINANCING | First 60 payments</x:v>
      </x:c>
      <x:c r="C1" s="202" t="str">
        <x:v>FINANCING | First 60 payments</x:v>
      </x:c>
      <x:c r="D1" s="202" t="str">
        <x:v>FINANCING | First 60 payments</x:v>
      </x:c>
      <x:c r="E1" s="202" t="str">
        <x:v>FINANCING | First 60 payments</x:v>
      </x:c>
      <x:c r="F1" s="202" t="str">
        <x:v>FINANCING | First 60 payments</x:v>
      </x:c>
      <x:c r="G1" s="202" t="str">
        <x:v>FINANCING | First 60 payments</x:v>
      </x:c>
    </x:row>
    <x:row r="2" ht="24" customHeight="1">
      <x:c r="A2" s="202" t="str">
        <x:v>FINANCING | First 60 payments</x:v>
      </x:c>
      <x:c r="B2" s="202" t="str">
        <x:v>FINANCING | First 60 payments</x:v>
      </x:c>
      <x:c r="C2" s="202" t="str">
        <x:v>FINANCING | First 60 payments</x:v>
      </x:c>
      <x:c r="D2" s="202" t="str">
        <x:v>FINANCING | First 60 payments</x:v>
      </x:c>
      <x:c r="E2" s="202" t="str">
        <x:v>FINANCING | First 60 payments</x:v>
      </x:c>
      <x:c r="F2" s="202" t="str">
        <x:v>FINANCING | First 60 payments</x:v>
      </x:c>
      <x:c r="G2" s="202" t="str">
        <x:v>FINANCING | First 60 payments</x:v>
      </x:c>
    </x:row>
    <x:row r="3" ht="25" customHeight="1">
      <x:c r="A3" s="203" t="str">
        <x:v>Fixed-rate, fully amortizing debt only. Period 1 is the first payment after closing, not a specific calendar month. Payment is reduced when the remaining balance is paid off. Escrow, loan fees and prepayments are not modeled.</x:v>
      </x:c>
      <x:c r="B3" s="203" t="str">
        <x:v>Fixed-rate, fully amortizing debt only. Period 1 is the first payment after closing, not a specific calendar month. Payment is reduced when the remaining balance is paid off. Escrow, loan fees and prepayments are not modeled.</x:v>
      </x:c>
      <x:c r="C3" s="203" t="str">
        <x:v>Fixed-rate, fully amortizing debt only. Period 1 is the first payment after closing, not a specific calendar month. Payment is reduced when the remaining balance is paid off. Escrow, loan fees and prepayments are not modeled.</x:v>
      </x:c>
      <x:c r="D3" s="203" t="str">
        <x:v>Fixed-rate, fully amortizing debt only. Period 1 is the first payment after closing, not a specific calendar month. Payment is reduced when the remaining balance is paid off. Escrow, loan fees and prepayments are not modeled.</x:v>
      </x:c>
      <x:c r="E3" s="203" t="str">
        <x:v>Fixed-rate, fully amortizing debt only. Period 1 is the first payment after closing, not a specific calendar month. Payment is reduced when the remaining balance is paid off. Escrow, loan fees and prepayments are not modeled.</x:v>
      </x:c>
      <x:c r="F3" s="203" t="str">
        <x:v>Fixed-rate, fully amortizing debt only. Period 1 is the first payment after closing, not a specific calendar month. Payment is reduced when the remaining balance is paid off. Escrow, loan fees and prepayments are not modeled.</x:v>
      </x:c>
      <x:c r="G3" s="203" t="str">
        <x:v>Fixed-rate, fully amortizing debt only. Period 1 is the first payment after closing, not a specific calendar month. Payment is reduced when the remaining balance is paid off. Escrow, loan fees and prepayments are not modeled.</x:v>
      </x:c>
    </x:row>
    <x:row r="4" ht="25" customHeight="1">
      <x:c r="A4" s="203" t="str">
        <x:v>Fixed-rate, fully amortizing debt only. Period 1 is the first payment after closing, not a specific calendar month. Payment is reduced when the remaining balance is paid off. Escrow, loan fees and prepayments are not modeled.</x:v>
      </x:c>
      <x:c r="B4" s="203" t="str">
        <x:v>Fixed-rate, fully amortizing debt only. Period 1 is the first payment after closing, not a specific calendar month. Payment is reduced when the remaining balance is paid off. Escrow, loan fees and prepayments are not modeled.</x:v>
      </x:c>
      <x:c r="C4" s="203" t="str">
        <x:v>Fixed-rate, fully amortizing debt only. Period 1 is the first payment after closing, not a specific calendar month. Payment is reduced when the remaining balance is paid off. Escrow, loan fees and prepayments are not modeled.</x:v>
      </x:c>
      <x:c r="D4" s="203" t="str">
        <x:v>Fixed-rate, fully amortizing debt only. Period 1 is the first payment after closing, not a specific calendar month. Payment is reduced when the remaining balance is paid off. Escrow, loan fees and prepayments are not modeled.</x:v>
      </x:c>
      <x:c r="E4" s="203" t="str">
        <x:v>Fixed-rate, fully amortizing debt only. Period 1 is the first payment after closing, not a specific calendar month. Payment is reduced when the remaining balance is paid off. Escrow, loan fees and prepayments are not modeled.</x:v>
      </x:c>
      <x:c r="F4" s="203" t="str">
        <x:v>Fixed-rate, fully amortizing debt only. Period 1 is the first payment after closing, not a specific calendar month. Payment is reduced when the remaining balance is paid off. Escrow, loan fees and prepayments are not modeled.</x:v>
      </x:c>
      <x:c r="G4" s="203" t="str">
        <x:v>Fixed-rate, fully amortizing debt only. Period 1 is the first payment after closing, not a specific calendar month. Payment is reduced when the remaining balance is paid off. Escrow, loan fees and prepayments are not modeled.</x:v>
      </x:c>
    </x:row>
    <x:row r="5" ht="25" customHeight="1">
      <x:c r="A5" s="200" t="str">
        <x:v>Fixed-rate, fully amortizing debt only. Period 1 is the first payment after closing, not a specific calendar month. Payment is reduced when the remaining balance is paid off. Escrow, loan fees and prepayments are not modeled.</x:v>
      </x:c>
      <x:c r="B5" s="200" t="str">
        <x:v>Fixed-rate, fully amortizing debt only. Period 1 is the first payment after closing, not a specific calendar month. Payment is reduced when the remaining balance is paid off. Escrow, loan fees and prepayments are not modeled.</x:v>
      </x:c>
      <x:c r="C5" s="200" t="str">
        <x:v>Fixed-rate, fully amortizing debt only. Period 1 is the first payment after closing, not a specific calendar month. Payment is reduced when the remaining balance is paid off. Escrow, loan fees and prepayments are not modeled.</x:v>
      </x:c>
      <x:c r="D5" s="200" t="str">
        <x:v>Fixed-rate, fully amortizing debt only. Period 1 is the first payment after closing, not a specific calendar month. Payment is reduced when the remaining balance is paid off. Escrow, loan fees and prepayments are not modeled.</x:v>
      </x:c>
      <x:c r="E5" s="200" t="str">
        <x:v>Fixed-rate, fully amortizing debt only. Period 1 is the first payment after closing, not a specific calendar month. Payment is reduced when the remaining balance is paid off. Escrow, loan fees and prepayments are not modeled.</x:v>
      </x:c>
      <x:c r="F5" s="200" t="str">
        <x:v>Fixed-rate, fully amortizing debt only. Period 1 is the first payment after closing, not a specific calendar month. Payment is reduced when the remaining balance is paid off. Escrow, loan fees and prepayments are not modeled.</x:v>
      </x:c>
      <x:c r="G5" s="200" t="str">
        <x:v>Fixed-rate, fully amortizing debt only. Period 1 is the first payment after closing, not a specific calendar month. Payment is reduced when the remaining balance is paid off. Escrow, loan fees and prepayments are not modeled.</x:v>
      </x:c>
    </x:row>
    <x:row r="6" ht="25" customHeight="1">
      <x:c r="A6" s="317"/>
      <x:c r="B6" s="317"/>
      <x:c r="C6" s="317"/>
      <x:c r="D6" s="317"/>
      <x:c r="E6" s="317"/>
      <x:c r="F6" s="317"/>
      <x:c r="G6" s="317"/>
    </x:row>
    <x:row r="7" ht="25" customHeight="1">
      <x:c r="A7" s="200"/>
      <x:c r="B7" s="200"/>
      <x:c r="C7" s="200"/>
      <x:c r="D7" s="200"/>
      <x:c r="E7" s="200"/>
      <x:c r="F7" s="200"/>
      <x:c r="G7" s="200"/>
    </x:row>
    <x:row r="8" ht="25" customHeight="1">
      <x:c r="A8" s="200"/>
      <x:c r="B8" s="200"/>
      <x:c r="C8" s="200"/>
      <x:c r="D8" s="200"/>
      <x:c r="E8" s="200"/>
      <x:c r="F8" s="200"/>
      <x:c r="G8" s="200"/>
    </x:row>
    <x:row r="9" ht="25" customHeight="1">
      <x:c r="A9" s="200"/>
      <x:c r="B9" s="200"/>
      <x:c r="C9" s="200"/>
      <x:c r="D9" s="200"/>
      <x:c r="E9" s="200"/>
      <x:c r="F9" s="200"/>
      <x:c r="G9" s="200"/>
    </x:row>
    <x:row r="10" ht="25" customHeight="1">
      <x:c r="A10" s="200"/>
      <x:c r="B10" s="200"/>
      <x:c r="C10" s="200"/>
      <x:c r="D10" s="200"/>
      <x:c r="E10" s="200"/>
      <x:c r="F10" s="200"/>
      <x:c r="G10" s="200"/>
    </x:row>
    <x:row r="11" ht="25" customHeight="1">
      <x:c r="A11" s="200"/>
      <x:c r="B11" s="200"/>
      <x:c r="C11" s="200"/>
      <x:c r="D11" s="200"/>
      <x:c r="E11" s="200"/>
      <x:c r="F11" s="200"/>
      <x:c r="G11" s="200"/>
    </x:row>
    <x:row r="12" ht="30" customHeight="1">
      <x:c r="A12" s="199" t="str">
        <x:v>Payment #</x:v>
      </x:c>
      <x:c r="B12" s="199" t="str">
        <x:v>Opening balance</x:v>
      </x:c>
      <x:c r="C12" s="199" t="str">
        <x:v>Monthly rate</x:v>
      </x:c>
      <x:c r="D12" s="199" t="str">
        <x:v>P&amp;I payment</x:v>
      </x:c>
      <x:c r="E12" s="199" t="str">
        <x:v>Interest</x:v>
      </x:c>
      <x:c r="F12" s="199" t="str">
        <x:v>Principal</x:v>
      </x:c>
      <x:c r="G12" s="199" t="str">
        <x:v>Closing balance</x:v>
      </x:c>
    </x:row>
    <x:row r="13" ht="25" customHeight="1">
      <x:c r="A13" s="227" t="n">
        <x:v>1</x:v>
      </x:c>
      <x:c r="B13" s="225" t="n">
        <x:f>'Property Ownership Calculator'!$F$37</x:f>
        <x:v>262500</x:v>
      </x:c>
      <x:c r="C13" s="224" t="n">
        <x:f>'Property Ownership Calculator'!$B$34/12</x:f>
        <x:v>0.005625000000000001</x:v>
      </x:c>
      <x:c r="D13" s="225" t="n">
        <x:f>IF(B13&gt;0,MIN('Property Ownership Calculator'!$F$38,B13+E13),0)</x:f>
        <x:v>1702.570003491565</x:v>
      </x:c>
      <x:c r="E13" s="225" t="n">
        <x:f>B13*C13</x:f>
        <x:v>1476.5625000000002</x:v>
      </x:c>
      <x:c r="F13" s="225" t="n">
        <x:f>MAX(0,D13-E13)</x:f>
        <x:v>226.00750349156488</x:v>
      </x:c>
      <x:c r="G13" s="225" t="n">
        <x:f>MAX(0,B13-F13)</x:f>
        <x:v>262273.9924965084</x:v>
      </x:c>
    </x:row>
    <x:row r="14" ht="25" customHeight="1">
      <x:c r="A14" s="227" t="n">
        <x:v>2</x:v>
      </x:c>
      <x:c r="B14" s="225" t="n">
        <x:f>G13</x:f>
        <x:v>262273.9924965084</x:v>
      </x:c>
      <x:c r="C14" s="224" t="n">
        <x:f>'Property Ownership Calculator'!$B$34/12</x:f>
        <x:v>0.005625000000000001</x:v>
      </x:c>
      <x:c r="D14" s="225" t="n">
        <x:f>IF(B14&gt;0,MIN('Property Ownership Calculator'!$F$38,B14+E14),0)</x:f>
        <x:v>1702.570003491565</x:v>
      </x:c>
      <x:c r="E14" s="225" t="n">
        <x:f>B14*C14</x:f>
        <x:v>1475.29120779286</x:v>
      </x:c>
      <x:c r="F14" s="225" t="n">
        <x:f>MAX(0,D14-E14)</x:f>
        <x:v>227.27879569870515</x:v>
      </x:c>
      <x:c r="G14" s="225" t="n">
        <x:f>MAX(0,B14-F14)</x:f>
        <x:v>262046.7137008097</x:v>
      </x:c>
    </x:row>
    <x:row r="15" ht="25" customHeight="1">
      <x:c r="A15" s="227" t="n">
        <x:v>3</x:v>
      </x:c>
      <x:c r="B15" s="225" t="n">
        <x:f>G14</x:f>
        <x:v>262046.7137008097</x:v>
      </x:c>
      <x:c r="C15" s="224" t="n">
        <x:f>'Property Ownership Calculator'!$B$34/12</x:f>
        <x:v>0.005625000000000001</x:v>
      </x:c>
      <x:c r="D15" s="225" t="n">
        <x:f>IF(B15&gt;0,MIN('Property Ownership Calculator'!$F$38,B15+E15),0)</x:f>
        <x:v>1702.570003491565</x:v>
      </x:c>
      <x:c r="E15" s="225" t="n">
        <x:f>B15*C15</x:f>
        <x:v>1474.0127645670548</x:v>
      </x:c>
      <x:c r="F15" s="225" t="n">
        <x:f>MAX(0,D15-E15)</x:f>
        <x:v>228.55723892451033</x:v>
      </x:c>
      <x:c r="G15" s="225" t="n">
        <x:f>MAX(0,B15-F15)</x:f>
        <x:v>261818.15646188517</x:v>
      </x:c>
    </x:row>
    <x:row r="16" ht="25" customHeight="1">
      <x:c r="A16" s="227" t="n">
        <x:v>4</x:v>
      </x:c>
      <x:c r="B16" s="225" t="n">
        <x:f>G15</x:f>
        <x:v>261818.15646188517</x:v>
      </x:c>
      <x:c r="C16" s="224" t="n">
        <x:f>'Property Ownership Calculator'!$B$34/12</x:f>
        <x:v>0.005625000000000001</x:v>
      </x:c>
      <x:c r="D16" s="225" t="n">
        <x:f>IF(B16&gt;0,MIN('Property Ownership Calculator'!$F$38,B16+E16),0)</x:f>
        <x:v>1702.570003491565</x:v>
      </x:c>
      <x:c r="E16" s="225" t="n">
        <x:f>B16*C16</x:f>
        <x:v>1472.7271300981042</x:v>
      </x:c>
      <x:c r="F16" s="225" t="n">
        <x:f>MAX(0,D16-E16)</x:f>
        <x:v>229.84287339346088</x:v>
      </x:c>
      <x:c r="G16" s="225" t="n">
        <x:f>MAX(0,B16-F16)</x:f>
        <x:v>261588.3135884917</x:v>
      </x:c>
    </x:row>
    <x:row r="17" ht="25" customHeight="1">
      <x:c r="A17" s="227" t="n">
        <x:v>5</x:v>
      </x:c>
      <x:c r="B17" s="225" t="n">
        <x:f>G16</x:f>
        <x:v>261588.3135884917</x:v>
      </x:c>
      <x:c r="C17" s="224" t="n">
        <x:f>'Property Ownership Calculator'!$B$34/12</x:f>
        <x:v>0.005625000000000001</x:v>
      </x:c>
      <x:c r="D17" s="225" t="n">
        <x:f>IF(B17&gt;0,MIN('Property Ownership Calculator'!$F$38,B17+E17),0)</x:f>
        <x:v>1702.570003491565</x:v>
      </x:c>
      <x:c r="E17" s="225" t="n">
        <x:f>B17*C17</x:f>
        <x:v>1471.434263935266</x:v>
      </x:c>
      <x:c r="F17" s="225" t="n">
        <x:f>MAX(0,D17-E17)</x:f>
        <x:v>231.1357395562991</x:v>
      </x:c>
      <x:c r="G17" s="225" t="n">
        <x:f>MAX(0,B17-F17)</x:f>
        <x:v>261357.1778489354</x:v>
      </x:c>
    </x:row>
    <x:row r="18" ht="25" customHeight="1">
      <x:c r="A18" s="227" t="n">
        <x:v>6</x:v>
      </x:c>
      <x:c r="B18" s="225" t="n">
        <x:f>G17</x:f>
        <x:v>261357.1778489354</x:v>
      </x:c>
      <x:c r="C18" s="224" t="n">
        <x:f>'Property Ownership Calculator'!$B$34/12</x:f>
        <x:v>0.005625000000000001</x:v>
      </x:c>
      <x:c r="D18" s="225" t="n">
        <x:f>IF(B18&gt;0,MIN('Property Ownership Calculator'!$F$38,B18+E18),0)</x:f>
        <x:v>1702.570003491565</x:v>
      </x:c>
      <x:c r="E18" s="225" t="n">
        <x:f>B18*C18</x:f>
        <x:v>1470.1341254002618</x:v>
      </x:c>
      <x:c r="F18" s="225" t="n">
        <x:f>MAX(0,D18-E18)</x:f>
        <x:v>232.43587809130327</x:v>
      </x:c>
      <x:c r="G18" s="225" t="n">
        <x:f>MAX(0,B18-F18)</x:f>
        <x:v>261124.74197084407</x:v>
      </x:c>
    </x:row>
    <x:row r="19" ht="25" customHeight="1">
      <x:c r="A19" s="227" t="n">
        <x:v>7</x:v>
      </x:c>
      <x:c r="B19" s="225" t="n">
        <x:f>G18</x:f>
        <x:v>261124.74197084407</x:v>
      </x:c>
      <x:c r="C19" s="224" t="n">
        <x:f>'Property Ownership Calculator'!$B$34/12</x:f>
        <x:v>0.005625000000000001</x:v>
      </x:c>
      <x:c r="D19" s="225" t="n">
        <x:f>IF(B19&gt;0,MIN('Property Ownership Calculator'!$F$38,B19+E19),0)</x:f>
        <x:v>1702.570003491565</x:v>
      </x:c>
      <x:c r="E19" s="225" t="n">
        <x:f>B19*C19</x:f>
        <x:v>1468.8266735859982</x:v>
      </x:c>
      <x:c r="F19" s="225" t="n">
        <x:f>MAX(0,D19-E19)</x:f>
        <x:v>233.74332990556695</x:v>
      </x:c>
      <x:c r="G19" s="225" t="n">
        <x:f>MAX(0,B19-F19)</x:f>
        <x:v>260890.99864093852</x:v>
      </x:c>
    </x:row>
    <x:row r="20" ht="25" customHeight="1">
      <x:c r="A20" s="227" t="n">
        <x:v>8</x:v>
      </x:c>
      <x:c r="B20" s="225" t="n">
        <x:f>G19</x:f>
        <x:v>260890.99864093852</x:v>
      </x:c>
      <x:c r="C20" s="224" t="n">
        <x:f>'Property Ownership Calculator'!$B$34/12</x:f>
        <x:v>0.005625000000000001</x:v>
      </x:c>
      <x:c r="D20" s="225" t="n">
        <x:f>IF(B20&gt;0,MIN('Property Ownership Calculator'!$F$38,B20+E20),0)</x:f>
        <x:v>1702.570003491565</x:v>
      </x:c>
      <x:c r="E20" s="225" t="n">
        <x:f>B20*C20</x:f>
        <x:v>1467.5118673552793</x:v>
      </x:c>
      <x:c r="F20" s="225" t="n">
        <x:f>MAX(0,D20-E20)</x:f>
        <x:v>235.05813613628584</x:v>
      </x:c>
      <x:c r="G20" s="225" t="n">
        <x:f>MAX(0,B20-F20)</x:f>
        <x:v>260655.94050480222</x:v>
      </x:c>
    </x:row>
    <x:row r="21" ht="25" customHeight="1">
      <x:c r="A21" s="227" t="n">
        <x:v>9</x:v>
      </x:c>
      <x:c r="B21" s="225" t="n">
        <x:f>G20</x:f>
        <x:v>260655.94050480222</x:v>
      </x:c>
      <x:c r="C21" s="224" t="n">
        <x:f>'Property Ownership Calculator'!$B$34/12</x:f>
        <x:v>0.005625000000000001</x:v>
      </x:c>
      <x:c r="D21" s="225" t="n">
        <x:f>IF(B21&gt;0,MIN('Property Ownership Calculator'!$F$38,B21+E21),0)</x:f>
        <x:v>1702.570003491565</x:v>
      </x:c>
      <x:c r="E21" s="225" t="n">
        <x:f>B21*C21</x:f>
        <x:v>1466.1896653395127</x:v>
      </x:c>
      <x:c r="F21" s="225" t="n">
        <x:f>MAX(0,D21-E21)</x:f>
        <x:v>236.38033815205245</x:v>
      </x:c>
      <x:c r="G21" s="225" t="n">
        <x:f>MAX(0,B21-F21)</x:f>
        <x:v>260419.56016665016</x:v>
      </x:c>
    </x:row>
    <x:row r="22" ht="25" customHeight="1">
      <x:c r="A22" s="227" t="n">
        <x:v>10</x:v>
      </x:c>
      <x:c r="B22" s="225" t="n">
        <x:f>G21</x:f>
        <x:v>260419.56016665016</x:v>
      </x:c>
      <x:c r="C22" s="224" t="n">
        <x:f>'Property Ownership Calculator'!$B$34/12</x:f>
        <x:v>0.005625000000000001</x:v>
      </x:c>
      <x:c r="D22" s="225" t="n">
        <x:f>IF(B22&gt;0,MIN('Property Ownership Calculator'!$F$38,B22+E22),0)</x:f>
        <x:v>1702.570003491565</x:v>
      </x:c>
      <x:c r="E22" s="225" t="n">
        <x:f>B22*C22</x:f>
        <x:v>1464.8600259374073</x:v>
      </x:c>
      <x:c r="F22" s="225" t="n">
        <x:f>MAX(0,D22-E22)</x:f>
        <x:v>237.70997755415783</x:v>
      </x:c>
      <x:c r="G22" s="225" t="n">
        <x:f>MAX(0,B22-F22)</x:f>
        <x:v>260181.850189096</x:v>
      </x:c>
    </x:row>
    <x:row r="23" ht="25" customHeight="1">
      <x:c r="A23" s="227" t="n">
        <x:v>11</x:v>
      </x:c>
      <x:c r="B23" s="225" t="n">
        <x:f>G22</x:f>
        <x:v>260181.850189096</x:v>
      </x:c>
      <x:c r="C23" s="224" t="n">
        <x:f>'Property Ownership Calculator'!$B$34/12</x:f>
        <x:v>0.005625000000000001</x:v>
      </x:c>
      <x:c r="D23" s="225" t="n">
        <x:f>IF(B23&gt;0,MIN('Property Ownership Calculator'!$F$38,B23+E23),0)</x:f>
        <x:v>1702.570003491565</x:v>
      </x:c>
      <x:c r="E23" s="225" t="n">
        <x:f>B23*C23</x:f>
        <x:v>1463.5229073136652</x:v>
      </x:c>
      <x:c r="F23" s="225" t="n">
        <x:f>MAX(0,D23-E23)</x:f>
        <x:v>239.0470961778999</x:v>
      </x:c>
      <x:c r="G23" s="225" t="n">
        <x:f>MAX(0,B23-F23)</x:f>
        <x:v>259942.8030929181</x:v>
      </x:c>
    </x:row>
    <x:row r="24" ht="25" customHeight="1">
      <x:c r="A24" s="254" t="n">
        <x:v>12</x:v>
      </x:c>
      <x:c r="B24" s="221" t="n">
        <x:f>G23</x:f>
        <x:v>259942.8030929181</x:v>
      </x:c>
      <x:c r="C24" s="222" t="n">
        <x:f>'Property Ownership Calculator'!$B$34/12</x:f>
        <x:v>0.005625000000000001</x:v>
      </x:c>
      <x:c r="D24" s="221" t="n">
        <x:f>IF(B24&gt;0,MIN('Property Ownership Calculator'!$F$38,B24+E24),0)</x:f>
        <x:v>1702.570003491565</x:v>
      </x:c>
      <x:c r="E24" s="221" t="n">
        <x:f>B24*C24</x:f>
        <x:v>1462.1782673976645</x:v>
      </x:c>
      <x:c r="F24" s="221" t="n">
        <x:f>MAX(0,D24-E24)</x:f>
        <x:v>240.3917360939006</x:v>
      </x:c>
      <x:c r="G24" s="221" t="n">
        <x:f>MAX(0,B24-F24)</x:f>
        <x:v>259702.4113568242</x:v>
      </x:c>
    </x:row>
    <x:row r="25" ht="25" customHeight="1">
      <x:c r="A25" s="227" t="n">
        <x:v>13</x:v>
      </x:c>
      <x:c r="B25" s="225" t="n">
        <x:f>G24</x:f>
        <x:v>259702.4113568242</x:v>
      </x:c>
      <x:c r="C25" s="224" t="n">
        <x:f>'Property Ownership Calculator'!$B$34/12</x:f>
        <x:v>0.005625000000000001</x:v>
      </x:c>
      <x:c r="D25" s="225" t="n">
        <x:f>IF(B25&gt;0,MIN('Property Ownership Calculator'!$F$38,B25+E25),0)</x:f>
        <x:v>1702.570003491565</x:v>
      </x:c>
      <x:c r="E25" s="225" t="n">
        <x:f>B25*C25</x:f>
        <x:v>1460.8260638821362</x:v>
      </x:c>
      <x:c r="F25" s="225" t="n">
        <x:f>MAX(0,D25-E25)</x:f>
        <x:v>241.74393960942894</x:v>
      </x:c>
      <x:c r="G25" s="225" t="n">
        <x:f>MAX(0,B25-F25)</x:f>
        <x:v>259460.66741721475</x:v>
      </x:c>
    </x:row>
    <x:row r="26" ht="25" customHeight="1">
      <x:c r="A26" s="227" t="n">
        <x:v>14</x:v>
      </x:c>
      <x:c r="B26" s="225" t="n">
        <x:f>G25</x:f>
        <x:v>259460.66741721475</x:v>
      </x:c>
      <x:c r="C26" s="224" t="n">
        <x:f>'Property Ownership Calculator'!$B$34/12</x:f>
        <x:v>0.005625000000000001</x:v>
      </x:c>
      <x:c r="D26" s="225" t="n">
        <x:f>IF(B26&gt;0,MIN('Property Ownership Calculator'!$F$38,B26+E26),0)</x:f>
        <x:v>1702.570003491565</x:v>
      </x:c>
      <x:c r="E26" s="225" t="n">
        <x:f>B26*C26</x:f>
        <x:v>1459.4662542218332</x:v>
      </x:c>
      <x:c r="F26" s="225" t="n">
        <x:f>MAX(0,D26-E26)</x:f>
        <x:v>243.1037492697319</x:v>
      </x:c>
      <x:c r="G26" s="225" t="n">
        <x:f>MAX(0,B26-F26)</x:f>
        <x:v>259217.563667945</x:v>
      </x:c>
    </x:row>
    <x:row r="27" ht="25" customHeight="1">
      <x:c r="A27" s="227" t="n">
        <x:v>15</x:v>
      </x:c>
      <x:c r="B27" s="225" t="n">
        <x:f>G26</x:f>
        <x:v>259217.563667945</x:v>
      </x:c>
      <x:c r="C27" s="224" t="n">
        <x:f>'Property Ownership Calculator'!$B$34/12</x:f>
        <x:v>0.005625000000000001</x:v>
      </x:c>
      <x:c r="D27" s="225" t="n">
        <x:f>IF(B27&gt;0,MIN('Property Ownership Calculator'!$F$38,B27+E27),0)</x:f>
        <x:v>1702.570003491565</x:v>
      </x:c>
      <x:c r="E27" s="225" t="n">
        <x:f>B27*C27</x:f>
        <x:v>1458.0987956321908</x:v>
      </x:c>
      <x:c r="F27" s="225" t="n">
        <x:f>MAX(0,D27-E27)</x:f>
        <x:v>244.47120785937432</x:v>
      </x:c>
      <x:c r="G27" s="225" t="n">
        <x:f>MAX(0,B27-F27)</x:f>
        <x:v>258973.09246008564</x:v>
      </x:c>
    </x:row>
    <x:row r="28" ht="25" customHeight="1">
      <x:c r="A28" s="227" t="n">
        <x:v>16</x:v>
      </x:c>
      <x:c r="B28" s="225" t="n">
        <x:f>G27</x:f>
        <x:v>258973.09246008564</x:v>
      </x:c>
      <x:c r="C28" s="224" t="n">
        <x:f>'Property Ownership Calculator'!$B$34/12</x:f>
        <x:v>0.005625000000000001</x:v>
      </x:c>
      <x:c r="D28" s="225" t="n">
        <x:f>IF(B28&gt;0,MIN('Property Ownership Calculator'!$F$38,B28+E28),0)</x:f>
        <x:v>1702.570003491565</x:v>
      </x:c>
      <x:c r="E28" s="225" t="n">
        <x:f>B28*C28</x:f>
        <x:v>1456.7236450879818</x:v>
      </x:c>
      <x:c r="F28" s="225" t="n">
        <x:f>MAX(0,D28-E28)</x:f>
        <x:v>245.84635840358328</x:v>
      </x:c>
      <x:c r="G28" s="225" t="n">
        <x:f>MAX(0,B28-F28)</x:f>
        <x:v>258727.24610168205</x:v>
      </x:c>
    </x:row>
    <x:row r="29" ht="25" customHeight="1">
      <x:c r="A29" s="227" t="n">
        <x:v>17</x:v>
      </x:c>
      <x:c r="B29" s="225" t="n">
        <x:f>G28</x:f>
        <x:v>258727.24610168205</x:v>
      </x:c>
      <x:c r="C29" s="224" t="n">
        <x:f>'Property Ownership Calculator'!$B$34/12</x:f>
        <x:v>0.005625000000000001</x:v>
      </x:c>
      <x:c r="D29" s="225" t="n">
        <x:f>IF(B29&gt;0,MIN('Property Ownership Calculator'!$F$38,B29+E29),0)</x:f>
        <x:v>1702.570003491565</x:v>
      </x:c>
      <x:c r="E29" s="225" t="n">
        <x:f>B29*C29</x:f>
        <x:v>1455.3407593219617</x:v>
      </x:c>
      <x:c r="F29" s="225" t="n">
        <x:f>MAX(0,D29-E29)</x:f>
        <x:v>247.22924416960336</x:v>
      </x:c>
      <x:c r="G29" s="225" t="n">
        <x:f>MAX(0,B29-F29)</x:f>
        <x:v>258480.01685751244</x:v>
      </x:c>
    </x:row>
    <x:row r="30" ht="25" customHeight="1">
      <x:c r="A30" s="227" t="n">
        <x:v>18</x:v>
      </x:c>
      <x:c r="B30" s="225" t="n">
        <x:f>G29</x:f>
        <x:v>258480.01685751244</x:v>
      </x:c>
      <x:c r="C30" s="224" t="n">
        <x:f>'Property Ownership Calculator'!$B$34/12</x:f>
        <x:v>0.005625000000000001</x:v>
      </x:c>
      <x:c r="D30" s="225" t="n">
        <x:f>IF(B30&gt;0,MIN('Property Ownership Calculator'!$F$38,B30+E30),0)</x:f>
        <x:v>1702.570003491565</x:v>
      </x:c>
      <x:c r="E30" s="225" t="n">
        <x:f>B30*C30</x:f>
        <x:v>1453.9500948235077</x:v>
      </x:c>
      <x:c r="F30" s="225" t="n">
        <x:f>MAX(0,D30-E30)</x:f>
        <x:v>248.6199086680574</x:v>
      </x:c>
      <x:c r="G30" s="225" t="n">
        <x:f>MAX(0,B30-F30)</x:f>
        <x:v>258231.39694884437</x:v>
      </x:c>
    </x:row>
    <x:row r="31" ht="25" customHeight="1">
      <x:c r="A31" s="227" t="n">
        <x:v>19</x:v>
      </x:c>
      <x:c r="B31" s="225" t="n">
        <x:f>G30</x:f>
        <x:v>258231.39694884437</x:v>
      </x:c>
      <x:c r="C31" s="224" t="n">
        <x:f>'Property Ownership Calculator'!$B$34/12</x:f>
        <x:v>0.005625000000000001</x:v>
      </x:c>
      <x:c r="D31" s="225" t="n">
        <x:f>IF(B31&gt;0,MIN('Property Ownership Calculator'!$F$38,B31+E31),0)</x:f>
        <x:v>1702.570003491565</x:v>
      </x:c>
      <x:c r="E31" s="225" t="n">
        <x:f>B31*C31</x:f>
        <x:v>1452.5516078372498</x:v>
      </x:c>
      <x:c r="F31" s="225" t="n">
        <x:f>MAX(0,D31-E31)</x:f>
        <x:v>250.01839565431533</x:v>
      </x:c>
      <x:c r="G31" s="225" t="n">
        <x:f>MAX(0,B31-F31)</x:f>
        <x:v>257981.37855319006</x:v>
      </x:c>
    </x:row>
    <x:row r="32" ht="25" customHeight="1">
      <x:c r="A32" s="227" t="n">
        <x:v>20</x:v>
      </x:c>
      <x:c r="B32" s="225" t="n">
        <x:f>G31</x:f>
        <x:v>257981.37855319006</x:v>
      </x:c>
      <x:c r="C32" s="224" t="n">
        <x:f>'Property Ownership Calculator'!$B$34/12</x:f>
        <x:v>0.005625000000000001</x:v>
      </x:c>
      <x:c r="D32" s="225" t="n">
        <x:f>IF(B32&gt;0,MIN('Property Ownership Calculator'!$F$38,B32+E32),0)</x:f>
        <x:v>1702.570003491565</x:v>
      </x:c>
      <x:c r="E32" s="225" t="n">
        <x:f>B32*C32</x:f>
        <x:v>1451.1452543616942</x:v>
      </x:c>
      <x:c r="F32" s="225" t="n">
        <x:f>MAX(0,D32-E32)</x:f>
        <x:v>251.42474912987086</x:v>
      </x:c>
      <x:c r="G32" s="225" t="n">
        <x:f>MAX(0,B32-F32)</x:f>
        <x:v>257729.9538040602</x:v>
      </x:c>
    </x:row>
    <x:row r="33" ht="25" customHeight="1">
      <x:c r="A33" s="227" t="n">
        <x:v>21</x:v>
      </x:c>
      <x:c r="B33" s="225" t="n">
        <x:f>G32</x:f>
        <x:v>257729.9538040602</x:v>
      </x:c>
      <x:c r="C33" s="224" t="n">
        <x:f>'Property Ownership Calculator'!$B$34/12</x:f>
        <x:v>0.005625000000000001</x:v>
      </x:c>
      <x:c r="D33" s="225" t="n">
        <x:f>IF(B33&gt;0,MIN('Property Ownership Calculator'!$F$38,B33+E33),0)</x:f>
        <x:v>1702.570003491565</x:v>
      </x:c>
      <x:c r="E33" s="225" t="n">
        <x:f>B33*C33</x:f>
        <x:v>1449.7309901478388</x:v>
      </x:c>
      <x:c r="F33" s="225" t="n">
        <x:f>MAX(0,D33-E33)</x:f>
        <x:v>252.83901334372626</x:v>
      </x:c>
      <x:c r="G33" s="225" t="n">
        <x:f>MAX(0,B33-F33)</x:f>
        <x:v>257477.11479071647</x:v>
      </x:c>
    </x:row>
    <x:row r="34" ht="25" customHeight="1">
      <x:c r="A34" s="227" t="n">
        <x:v>22</x:v>
      </x:c>
      <x:c r="B34" s="225" t="n">
        <x:f>G33</x:f>
        <x:v>257477.11479071647</x:v>
      </x:c>
      <x:c r="C34" s="224" t="n">
        <x:f>'Property Ownership Calculator'!$B$34/12</x:f>
        <x:v>0.005625000000000001</x:v>
      </x:c>
      <x:c r="D34" s="225" t="n">
        <x:f>IF(B34&gt;0,MIN('Property Ownership Calculator'!$F$38,B34+E34),0)</x:f>
        <x:v>1702.570003491565</x:v>
      </x:c>
      <x:c r="E34" s="225" t="n">
        <x:f>B34*C34</x:f>
        <x:v>1448.3087706977803</x:v>
      </x:c>
      <x:c r="F34" s="225" t="n">
        <x:f>MAX(0,D34-E34)</x:f>
        <x:v>254.26123279378476</x:v>
      </x:c>
      <x:c r="G34" s="225" t="n">
        <x:f>MAX(0,B34-F34)</x:f>
        <x:v>257222.85355792267</x:v>
      </x:c>
    </x:row>
    <x:row r="35" ht="25" customHeight="1">
      <x:c r="A35" s="227" t="n">
        <x:v>23</x:v>
      </x:c>
      <x:c r="B35" s="225" t="n">
        <x:f>G34</x:f>
        <x:v>257222.85355792267</x:v>
      </x:c>
      <x:c r="C35" s="224" t="n">
        <x:f>'Property Ownership Calculator'!$B$34/12</x:f>
        <x:v>0.005625000000000001</x:v>
      </x:c>
      <x:c r="D35" s="225" t="n">
        <x:f>IF(B35&gt;0,MIN('Property Ownership Calculator'!$F$38,B35+E35),0)</x:f>
        <x:v>1702.570003491565</x:v>
      </x:c>
      <x:c r="E35" s="225" t="n">
        <x:f>B35*C35</x:f>
        <x:v>1446.878551263315</x:v>
      </x:c>
      <x:c r="F35" s="225" t="n">
        <x:f>MAX(0,D35-E35)</x:f>
        <x:v>255.69145222825</x:v>
      </x:c>
      <x:c r="G35" s="225" t="n">
        <x:f>MAX(0,B35-F35)</x:f>
        <x:v>256967.1621056944</x:v>
      </x:c>
    </x:row>
    <x:row r="36" ht="25" customHeight="1">
      <x:c r="A36" s="254" t="n">
        <x:v>24</x:v>
      </x:c>
      <x:c r="B36" s="221" t="n">
        <x:f>G35</x:f>
        <x:v>256967.1621056944</x:v>
      </x:c>
      <x:c r="C36" s="222" t="n">
        <x:f>'Property Ownership Calculator'!$B$34/12</x:f>
        <x:v>0.005625000000000001</x:v>
      </x:c>
      <x:c r="D36" s="221" t="n">
        <x:f>IF(B36&gt;0,MIN('Property Ownership Calculator'!$F$38,B36+E36),0)</x:f>
        <x:v>1702.570003491565</x:v>
      </x:c>
      <x:c r="E36" s="221" t="n">
        <x:f>B36*C36</x:f>
        <x:v>1445.4402868445313</x:v>
      </x:c>
      <x:c r="F36" s="221" t="n">
        <x:f>MAX(0,D36-E36)</x:f>
        <x:v>257.1297166470338</x:v>
      </x:c>
      <x:c r="G36" s="221" t="n">
        <x:f>MAX(0,B36-F36)</x:f>
        <x:v>256710.03238904738</x:v>
      </x:c>
    </x:row>
    <x:row r="37" ht="25" customHeight="1">
      <x:c r="A37" s="227" t="n">
        <x:v>25</x:v>
      </x:c>
      <x:c r="B37" s="225" t="n">
        <x:f>G36</x:f>
        <x:v>256710.03238904738</x:v>
      </x:c>
      <x:c r="C37" s="224" t="n">
        <x:f>'Property Ownership Calculator'!$B$34/12</x:f>
        <x:v>0.005625000000000001</x:v>
      </x:c>
      <x:c r="D37" s="225" t="n">
        <x:f>IF(B37&gt;0,MIN('Property Ownership Calculator'!$F$38,B37+E37),0)</x:f>
        <x:v>1702.570003491565</x:v>
      </x:c>
      <x:c r="E37" s="225" t="n">
        <x:f>B37*C37</x:f>
        <x:v>1443.9939321883917</x:v>
      </x:c>
      <x:c r="F37" s="225" t="n">
        <x:f>MAX(0,D37-E37)</x:f>
        <x:v>258.5760713031734</x:v>
      </x:c>
      <x:c r="G37" s="225" t="n">
        <x:f>MAX(0,B37-F37)</x:f>
        <x:v>256451.45631774422</x:v>
      </x:c>
    </x:row>
    <x:row r="38" ht="25" customHeight="1">
      <x:c r="A38" s="227" t="n">
        <x:v>26</x:v>
      </x:c>
      <x:c r="B38" s="225" t="n">
        <x:f>G37</x:f>
        <x:v>256451.45631774422</x:v>
      </x:c>
      <x:c r="C38" s="224" t="n">
        <x:f>'Property Ownership Calculator'!$B$34/12</x:f>
        <x:v>0.005625000000000001</x:v>
      </x:c>
      <x:c r="D38" s="225" t="n">
        <x:f>IF(B38&gt;0,MIN('Property Ownership Calculator'!$F$38,B38+E38),0)</x:f>
        <x:v>1702.570003491565</x:v>
      </x:c>
      <x:c r="E38" s="225" t="n">
        <x:f>B38*C38</x:f>
        <x:v>1442.5394417873115</x:v>
      </x:c>
      <x:c r="F38" s="225" t="n">
        <x:f>MAX(0,D38-E38)</x:f>
        <x:v>260.0305617042536</x:v>
      </x:c>
      <x:c r="G38" s="225" t="n">
        <x:f>MAX(0,B38-F38)</x:f>
        <x:v>256191.42575603997</x:v>
      </x:c>
    </x:row>
    <x:row r="39" ht="25" customHeight="1">
      <x:c r="A39" s="227" t="n">
        <x:v>27</x:v>
      </x:c>
      <x:c r="B39" s="225" t="n">
        <x:f>G38</x:f>
        <x:v>256191.42575603997</x:v>
      </x:c>
      <x:c r="C39" s="224" t="n">
        <x:f>'Property Ownership Calculator'!$B$34/12</x:f>
        <x:v>0.005625000000000001</x:v>
      </x:c>
      <x:c r="D39" s="225" t="n">
        <x:f>IF(B39&gt;0,MIN('Property Ownership Calculator'!$F$38,B39+E39),0)</x:f>
        <x:v>1702.570003491565</x:v>
      </x:c>
      <x:c r="E39" s="225" t="n">
        <x:f>B39*C39</x:f>
        <x:v>1441.076769877725</x:v>
      </x:c>
      <x:c r="F39" s="225" t="n">
        <x:f>MAX(0,D39-E39)</x:f>
        <x:v>261.4932336138402</x:v>
      </x:c>
      <x:c r="G39" s="225" t="n">
        <x:f>MAX(0,B39-F39)</x:f>
        <x:v>255929.93252242613</x:v>
      </x:c>
    </x:row>
    <x:row r="40" ht="25" customHeight="1">
      <x:c r="A40" s="227" t="n">
        <x:v>28</x:v>
      </x:c>
      <x:c r="B40" s="225" t="n">
        <x:f>G39</x:f>
        <x:v>255929.93252242613</x:v>
      </x:c>
      <x:c r="C40" s="224" t="n">
        <x:f>'Property Ownership Calculator'!$B$34/12</x:f>
        <x:v>0.005625000000000001</x:v>
      </x:c>
      <x:c r="D40" s="225" t="n">
        <x:f>IF(B40&gt;0,MIN('Property Ownership Calculator'!$F$38,B40+E40),0)</x:f>
        <x:v>1702.570003491565</x:v>
      </x:c>
      <x:c r="E40" s="225" t="n">
        <x:f>B40*C40</x:f>
        <x:v>1439.6058704386471</x:v>
      </x:c>
      <x:c r="F40" s="225" t="n">
        <x:f>MAX(0,D40-E40)</x:f>
        <x:v>262.964133052918</x:v>
      </x:c>
      <x:c r="G40" s="225" t="n">
        <x:f>MAX(0,B40-F40)</x:f>
        <x:v>255666.9683893732</x:v>
      </x:c>
    </x:row>
    <x:row r="41" ht="25" customHeight="1">
      <x:c r="A41" s="227" t="n">
        <x:v>29</x:v>
      </x:c>
      <x:c r="B41" s="225" t="n">
        <x:f>G40</x:f>
        <x:v>255666.9683893732</x:v>
      </x:c>
      <x:c r="C41" s="224" t="n">
        <x:f>'Property Ownership Calculator'!$B$34/12</x:f>
        <x:v>0.005625000000000001</x:v>
      </x:c>
      <x:c r="D41" s="225" t="n">
        <x:f>IF(B41&gt;0,MIN('Property Ownership Calculator'!$F$38,B41+E41),0)</x:f>
        <x:v>1702.570003491565</x:v>
      </x:c>
      <x:c r="E41" s="225" t="n">
        <x:f>B41*C41</x:f>
        <x:v>1438.1266971902246</x:v>
      </x:c>
      <x:c r="F41" s="225" t="n">
        <x:f>MAX(0,D41-E41)</x:f>
        <x:v>264.4433063013405</x:v>
      </x:c>
      <x:c r="G41" s="225" t="n">
        <x:f>MAX(0,B41-F41)</x:f>
        <x:v>255402.52508307187</x:v>
      </x:c>
    </x:row>
    <x:row r="42" ht="25" customHeight="1">
      <x:c r="A42" s="227" t="n">
        <x:v>30</x:v>
      </x:c>
      <x:c r="B42" s="225" t="n">
        <x:f>G41</x:f>
        <x:v>255402.52508307187</x:v>
      </x:c>
      <x:c r="C42" s="224" t="n">
        <x:f>'Property Ownership Calculator'!$B$34/12</x:f>
        <x:v>0.005625000000000001</x:v>
      </x:c>
      <x:c r="D42" s="225" t="n">
        <x:f>IF(B42&gt;0,MIN('Property Ownership Calculator'!$F$38,B42+E42),0)</x:f>
        <x:v>1702.570003491565</x:v>
      </x:c>
      <x:c r="E42" s="225" t="n">
        <x:f>B42*C42</x:f>
        <x:v>1436.6392035922795</x:v>
      </x:c>
      <x:c r="F42" s="225" t="n">
        <x:f>MAX(0,D42-E42)</x:f>
        <x:v>265.9307998992856</x:v>
      </x:c>
      <x:c r="G42" s="225" t="n">
        <x:f>MAX(0,B42-F42)</x:f>
        <x:v>255136.5942831726</x:v>
      </x:c>
    </x:row>
    <x:row r="43" ht="25" customHeight="1">
      <x:c r="A43" s="227" t="n">
        <x:v>31</x:v>
      </x:c>
      <x:c r="B43" s="225" t="n">
        <x:f>G42</x:f>
        <x:v>255136.5942831726</x:v>
      </x:c>
      <x:c r="C43" s="224" t="n">
        <x:f>'Property Ownership Calculator'!$B$34/12</x:f>
        <x:v>0.005625000000000001</x:v>
      </x:c>
      <x:c r="D43" s="225" t="n">
        <x:f>IF(B43&gt;0,MIN('Property Ownership Calculator'!$F$38,B43+E43),0)</x:f>
        <x:v>1702.570003491565</x:v>
      </x:c>
      <x:c r="E43" s="225" t="n">
        <x:f>B43*C43</x:f>
        <x:v>1435.143342842846</x:v>
      </x:c>
      <x:c r="F43" s="225" t="n">
        <x:f>MAX(0,D43-E43)</x:f>
        <x:v>267.426660648719</x:v>
      </x:c>
      <x:c r="G43" s="225" t="n">
        <x:f>MAX(0,B43-F43)</x:f>
        <x:v>254869.16762252388</x:v>
      </x:c>
    </x:row>
    <x:row r="44" ht="25" customHeight="1">
      <x:c r="A44" s="227" t="n">
        <x:v>32</x:v>
      </x:c>
      <x:c r="B44" s="225" t="n">
        <x:f>G43</x:f>
        <x:v>254869.16762252388</x:v>
      </x:c>
      <x:c r="C44" s="224" t="n">
        <x:f>'Property Ownership Calculator'!$B$34/12</x:f>
        <x:v>0.005625000000000001</x:v>
      </x:c>
      <x:c r="D44" s="225" t="n">
        <x:f>IF(B44&gt;0,MIN('Property Ownership Calculator'!$F$38,B44+E44),0)</x:f>
        <x:v>1702.570003491565</x:v>
      </x:c>
      <x:c r="E44" s="225" t="n">
        <x:f>B44*C44</x:f>
        <x:v>1433.639067876697</x:v>
      </x:c>
      <x:c r="F44" s="225" t="n">
        <x:f>MAX(0,D44-E44)</x:f>
        <x:v>268.9309356148681</x:v>
      </x:c>
      <x:c r="G44" s="225" t="n">
        <x:f>MAX(0,B44-F44)</x:f>
        <x:v>254600.23668690902</x:v>
      </x:c>
    </x:row>
    <x:row r="45" ht="25" customHeight="1">
      <x:c r="A45" s="227" t="n">
        <x:v>33</x:v>
      </x:c>
      <x:c r="B45" s="225" t="n">
        <x:f>G44</x:f>
        <x:v>254600.23668690902</x:v>
      </x:c>
      <x:c r="C45" s="224" t="n">
        <x:f>'Property Ownership Calculator'!$B$34/12</x:f>
        <x:v>0.005625000000000001</x:v>
      </x:c>
      <x:c r="D45" s="225" t="n">
        <x:f>IF(B45&gt;0,MIN('Property Ownership Calculator'!$F$38,B45+E45),0)</x:f>
        <x:v>1702.570003491565</x:v>
      </x:c>
      <x:c r="E45" s="225" t="n">
        <x:f>B45*C45</x:f>
        <x:v>1432.1263313638633</x:v>
      </x:c>
      <x:c r="F45" s="225" t="n">
        <x:f>MAX(0,D45-E45)</x:f>
        <x:v>270.4436721277018</x:v>
      </x:c>
      <x:c r="G45" s="225" t="n">
        <x:f>MAX(0,B45-F45)</x:f>
        <x:v>254329.79301478132</x:v>
      </x:c>
    </x:row>
    <x:row r="46" ht="25" customHeight="1">
      <x:c r="A46" s="227" t="n">
        <x:v>34</x:v>
      </x:c>
      <x:c r="B46" s="225" t="n">
        <x:f>G45</x:f>
        <x:v>254329.79301478132</x:v>
      </x:c>
      <x:c r="C46" s="224" t="n">
        <x:f>'Property Ownership Calculator'!$B$34/12</x:f>
        <x:v>0.005625000000000001</x:v>
      </x:c>
      <x:c r="D46" s="225" t="n">
        <x:f>IF(B46&gt;0,MIN('Property Ownership Calculator'!$F$38,B46+E46),0)</x:f>
        <x:v>1702.570003491565</x:v>
      </x:c>
      <x:c r="E46" s="225" t="n">
        <x:f>B46*C46</x:f>
        <x:v>1430.605085708145</x:v>
      </x:c>
      <x:c r="F46" s="225" t="n">
        <x:f>MAX(0,D46-E46)</x:f>
        <x:v>271.9649177834201</x:v>
      </x:c>
      <x:c r="G46" s="225" t="n">
        <x:f>MAX(0,B46-F46)</x:f>
        <x:v>254057.8280969979</x:v>
      </x:c>
    </x:row>
    <x:row r="47" ht="25" customHeight="1">
      <x:c r="A47" s="227" t="n">
        <x:v>35</x:v>
      </x:c>
      <x:c r="B47" s="225" t="n">
        <x:f>G46</x:f>
        <x:v>254057.8280969979</x:v>
      </x:c>
      <x:c r="C47" s="224" t="n">
        <x:f>'Property Ownership Calculator'!$B$34/12</x:f>
        <x:v>0.005625000000000001</x:v>
      </x:c>
      <x:c r="D47" s="225" t="n">
        <x:f>IF(B47&gt;0,MIN('Property Ownership Calculator'!$F$38,B47+E47),0)</x:f>
        <x:v>1702.570003491565</x:v>
      </x:c>
      <x:c r="E47" s="225" t="n">
        <x:f>B47*C47</x:f>
        <x:v>1429.0752830456133</x:v>
      </x:c>
      <x:c r="F47" s="225" t="n">
        <x:f>MAX(0,D47-E47)</x:f>
        <x:v>273.49472044595177</x:v>
      </x:c>
      <x:c r="G47" s="225" t="n">
        <x:f>MAX(0,B47-F47)</x:f>
        <x:v>253784.33337655195</x:v>
      </x:c>
    </x:row>
    <x:row r="48" ht="25" customHeight="1">
      <x:c r="A48" s="254" t="n">
        <x:v>36</x:v>
      </x:c>
      <x:c r="B48" s="221" t="n">
        <x:f>G47</x:f>
        <x:v>253784.33337655195</x:v>
      </x:c>
      <x:c r="C48" s="222" t="n">
        <x:f>'Property Ownership Calculator'!$B$34/12</x:f>
        <x:v>0.005625000000000001</x:v>
      </x:c>
      <x:c r="D48" s="221" t="n">
        <x:f>IF(B48&gt;0,MIN('Property Ownership Calculator'!$F$38,B48+E48),0)</x:f>
        <x:v>1702.570003491565</x:v>
      </x:c>
      <x:c r="E48" s="221" t="n">
        <x:f>B48*C48</x:f>
        <x:v>1427.536875243105</x:v>
      </x:c>
      <x:c r="F48" s="221" t="n">
        <x:f>MAX(0,D48-E48)</x:f>
        <x:v>275.0331282484601</x:v>
      </x:c>
      <x:c r="G48" s="221" t="n">
        <x:f>MAX(0,B48-F48)</x:f>
        <x:v>253509.30024830348</x:v>
      </x:c>
    </x:row>
    <x:row r="49" ht="25" customHeight="1">
      <x:c r="A49" s="227" t="n">
        <x:v>37</x:v>
      </x:c>
      <x:c r="B49" s="225" t="n">
        <x:f>G48</x:f>
        <x:v>253509.30024830348</x:v>
      </x:c>
      <x:c r="C49" s="224" t="n">
        <x:f>'Property Ownership Calculator'!$B$34/12</x:f>
        <x:v>0.005625000000000001</x:v>
      </x:c>
      <x:c r="D49" s="225" t="n">
        <x:f>IF(B49&gt;0,MIN('Property Ownership Calculator'!$F$38,B49+E49),0)</x:f>
        <x:v>1702.570003491565</x:v>
      </x:c>
      <x:c r="E49" s="225" t="n">
        <x:f>B49*C49</x:f>
        <x:v>1425.9898138967073</x:v>
      </x:c>
      <x:c r="F49" s="225" t="n">
        <x:f>MAX(0,D49-E49)</x:f>
        <x:v>276.58018959485776</x:v>
      </x:c>
      <x:c r="G49" s="225" t="n">
        <x:f>MAX(0,B49-F49)</x:f>
        <x:v>253232.72005870863</x:v>
      </x:c>
    </x:row>
    <x:row r="50" ht="25" customHeight="1">
      <x:c r="A50" s="227" t="n">
        <x:v>38</x:v>
      </x:c>
      <x:c r="B50" s="225" t="n">
        <x:f>G49</x:f>
        <x:v>253232.72005870863</x:v>
      </x:c>
      <x:c r="C50" s="224" t="n">
        <x:f>'Property Ownership Calculator'!$B$34/12</x:f>
        <x:v>0.005625000000000001</x:v>
      </x:c>
      <x:c r="D50" s="225" t="n">
        <x:f>IF(B50&gt;0,MIN('Property Ownership Calculator'!$F$38,B50+E50),0)</x:f>
        <x:v>1702.570003491565</x:v>
      </x:c>
      <x:c r="E50" s="225" t="n">
        <x:f>B50*C50</x:f>
        <x:v>1424.4340503302362</x:v>
      </x:c>
      <x:c r="F50" s="225" t="n">
        <x:f>MAX(0,D50-E50)</x:f>
        <x:v>278.13595316132887</x:v>
      </x:c>
      <x:c r="G50" s="225" t="n">
        <x:f>MAX(0,B50-F50)</x:f>
        <x:v>252954.58410554728</x:v>
      </x:c>
    </x:row>
    <x:row r="51" ht="25" customHeight="1">
      <x:c r="A51" s="227" t="n">
        <x:v>39</x:v>
      </x:c>
      <x:c r="B51" s="225" t="n">
        <x:f>G50</x:f>
        <x:v>252954.58410554728</x:v>
      </x:c>
      <x:c r="C51" s="224" t="n">
        <x:f>'Property Ownership Calculator'!$B$34/12</x:f>
        <x:v>0.005625000000000001</x:v>
      </x:c>
      <x:c r="D51" s="225" t="n">
        <x:f>IF(B51&gt;0,MIN('Property Ownership Calculator'!$F$38,B51+E51),0)</x:f>
        <x:v>1702.570003491565</x:v>
      </x:c>
      <x:c r="E51" s="225" t="n">
        <x:f>B51*C51</x:f>
        <x:v>1422.8695355937036</x:v>
      </x:c>
      <x:c r="F51" s="225" t="n">
        <x:f>MAX(0,D51-E51)</x:f>
        <x:v>279.7004678978615</x:v>
      </x:c>
      <x:c r="G51" s="225" t="n">
        <x:f>MAX(0,B51-F51)</x:f>
        <x:v>252674.88363764941</x:v>
      </x:c>
    </x:row>
    <x:row r="52" ht="25" customHeight="1">
      <x:c r="A52" s="227" t="n">
        <x:v>40</x:v>
      </x:c>
      <x:c r="B52" s="225" t="n">
        <x:f>G51</x:f>
        <x:v>252674.88363764941</x:v>
      </x:c>
      <x:c r="C52" s="224" t="n">
        <x:f>'Property Ownership Calculator'!$B$34/12</x:f>
        <x:v>0.005625000000000001</x:v>
      </x:c>
      <x:c r="D52" s="225" t="n">
        <x:f>IF(B52&gt;0,MIN('Property Ownership Calculator'!$F$38,B52+E52),0)</x:f>
        <x:v>1702.570003491565</x:v>
      </x:c>
      <x:c r="E52" s="225" t="n">
        <x:f>B52*C52</x:f>
        <x:v>1421.2962204617781</x:v>
      </x:c>
      <x:c r="F52" s="225" t="n">
        <x:f>MAX(0,D52-E52)</x:f>
        <x:v>281.27378302978696</x:v>
      </x:c>
      <x:c r="G52" s="225" t="n">
        <x:f>MAX(0,B52-F52)</x:f>
        <x:v>252393.60985461963</x:v>
      </x:c>
    </x:row>
    <x:row r="53" ht="25" customHeight="1">
      <x:c r="A53" s="227" t="n">
        <x:v>41</x:v>
      </x:c>
      <x:c r="B53" s="225" t="n">
        <x:f>G52</x:f>
        <x:v>252393.60985461963</x:v>
      </x:c>
      <x:c r="C53" s="224" t="n">
        <x:f>'Property Ownership Calculator'!$B$34/12</x:f>
        <x:v>0.005625000000000001</x:v>
      </x:c>
      <x:c r="D53" s="225" t="n">
        <x:f>IF(B53&gt;0,MIN('Property Ownership Calculator'!$F$38,B53+E53),0)</x:f>
        <x:v>1702.570003491565</x:v>
      </x:c>
      <x:c r="E53" s="225" t="n">
        <x:f>B53*C53</x:f>
        <x:v>1419.7140554322357</x:v>
      </x:c>
      <x:c r="F53" s="225" t="n">
        <x:f>MAX(0,D53-E53)</x:f>
        <x:v>282.8559480593294</x:v>
      </x:c>
      <x:c r="G53" s="225" t="n">
        <x:f>MAX(0,B53-F53)</x:f>
        <x:v>252110.7539065603</x:v>
      </x:c>
    </x:row>
    <x:row r="54" ht="25" customHeight="1">
      <x:c r="A54" s="227" t="n">
        <x:v>42</x:v>
      </x:c>
      <x:c r="B54" s="225" t="n">
        <x:f>G53</x:f>
        <x:v>252110.7539065603</x:v>
      </x:c>
      <x:c r="C54" s="224" t="n">
        <x:f>'Property Ownership Calculator'!$B$34/12</x:f>
        <x:v>0.005625000000000001</x:v>
      </x:c>
      <x:c r="D54" s="225" t="n">
        <x:f>IF(B54&gt;0,MIN('Property Ownership Calculator'!$F$38,B54+E54),0)</x:f>
        <x:v>1702.570003491565</x:v>
      </x:c>
      <x:c r="E54" s="225" t="n">
        <x:f>B54*C54</x:f>
        <x:v>1418.122990724402</x:v>
      </x:c>
      <x:c r="F54" s="225" t="n">
        <x:f>MAX(0,D54-E54)</x:f>
        <x:v>284.4470127671632</x:v>
      </x:c>
      <x:c r="G54" s="225" t="n">
        <x:f>MAX(0,B54-F54)</x:f>
        <x:v>251826.30689379314</x:v>
      </x:c>
    </x:row>
    <x:row r="55" ht="25" customHeight="1">
      <x:c r="A55" s="227" t="n">
        <x:v>43</x:v>
      </x:c>
      <x:c r="B55" s="225" t="n">
        <x:f>G54</x:f>
        <x:v>251826.30689379314</x:v>
      </x:c>
      <x:c r="C55" s="224" t="n">
        <x:f>'Property Ownership Calculator'!$B$34/12</x:f>
        <x:v>0.005625000000000001</x:v>
      </x:c>
      <x:c r="D55" s="225" t="n">
        <x:f>IF(B55&gt;0,MIN('Property Ownership Calculator'!$F$38,B55+E55),0)</x:f>
        <x:v>1702.570003491565</x:v>
      </x:c>
      <x:c r="E55" s="225" t="n">
        <x:f>B55*C55</x:f>
        <x:v>1416.5229762775866</x:v>
      </x:c>
      <x:c r="F55" s="225" t="n">
        <x:f>MAX(0,D55-E55)</x:f>
        <x:v>286.0470272139785</x:v>
      </x:c>
      <x:c r="G55" s="225" t="n">
        <x:f>MAX(0,B55-F55)</x:f>
        <x:v>251540.25986657917</x:v>
      </x:c>
    </x:row>
    <x:row r="56" ht="25" customHeight="1">
      <x:c r="A56" s="227" t="n">
        <x:v>44</x:v>
      </x:c>
      <x:c r="B56" s="225" t="n">
        <x:f>G55</x:f>
        <x:v>251540.25986657917</x:v>
      </x:c>
      <x:c r="C56" s="224" t="n">
        <x:f>'Property Ownership Calculator'!$B$34/12</x:f>
        <x:v>0.005625000000000001</x:v>
      </x:c>
      <x:c r="D56" s="225" t="n">
        <x:f>IF(B56&gt;0,MIN('Property Ownership Calculator'!$F$38,B56+E56),0)</x:f>
        <x:v>1702.570003491565</x:v>
      </x:c>
      <x:c r="E56" s="225" t="n">
        <x:f>B56*C56</x:f>
        <x:v>1414.913961749508</x:v>
      </x:c>
      <x:c r="F56" s="225" t="n">
        <x:f>MAX(0,D56-E56)</x:f>
        <x:v>287.65604174205714</x:v>
      </x:c>
      <x:c r="G56" s="225" t="n">
        <x:f>MAX(0,B56-F56)</x:f>
        <x:v>251252.6038248371</x:v>
      </x:c>
    </x:row>
    <x:row r="57" ht="25" customHeight="1">
      <x:c r="A57" s="227" t="n">
        <x:v>45</x:v>
      </x:c>
      <x:c r="B57" s="225" t="n">
        <x:f>G56</x:f>
        <x:v>251252.6038248371</x:v>
      </x:c>
      <x:c r="C57" s="224" t="n">
        <x:f>'Property Ownership Calculator'!$B$34/12</x:f>
        <x:v>0.005625000000000001</x:v>
      </x:c>
      <x:c r="D57" s="225" t="n">
        <x:f>IF(B57&gt;0,MIN('Property Ownership Calculator'!$F$38,B57+E57),0)</x:f>
        <x:v>1702.570003491565</x:v>
      </x:c>
      <x:c r="E57" s="225" t="n">
        <x:f>B57*C57</x:f>
        <x:v>1413.2958965147088</x:v>
      </x:c>
      <x:c r="F57" s="225" t="n">
        <x:f>MAX(0,D57-E57)</x:f>
        <x:v>289.2741069768563</x:v>
      </x:c>
      <x:c r="G57" s="225" t="n">
        <x:f>MAX(0,B57-F57)</x:f>
        <x:v>250963.32971786024</x:v>
      </x:c>
    </x:row>
    <x:row r="58" ht="25" customHeight="1">
      <x:c r="A58" s="227" t="n">
        <x:v>46</x:v>
      </x:c>
      <x:c r="B58" s="225" t="n">
        <x:f>G57</x:f>
        <x:v>250963.32971786024</x:v>
      </x:c>
      <x:c r="C58" s="224" t="n">
        <x:f>'Property Ownership Calculator'!$B$34/12</x:f>
        <x:v>0.005625000000000001</x:v>
      </x:c>
      <x:c r="D58" s="225" t="n">
        <x:f>IF(B58&gt;0,MIN('Property Ownership Calculator'!$F$38,B58+E58),0)</x:f>
        <x:v>1702.570003491565</x:v>
      </x:c>
      <x:c r="E58" s="225" t="n">
        <x:f>B58*C58</x:f>
        <x:v>1411.668729662964</x:v>
      </x:c>
      <x:c r="F58" s="225" t="n">
        <x:f>MAX(0,D58-E58)</x:f>
        <x:v>290.901273828601</x:v>
      </x:c>
      <x:c r="G58" s="225" t="n">
        <x:f>MAX(0,B58-F58)</x:f>
        <x:v>250672.42844403163</x:v>
      </x:c>
    </x:row>
    <x:row r="59" ht="25" customHeight="1">
      <x:c r="A59" s="227" t="n">
        <x:v>47</x:v>
      </x:c>
      <x:c r="B59" s="225" t="n">
        <x:f>G58</x:f>
        <x:v>250672.42844403163</x:v>
      </x:c>
      <x:c r="C59" s="224" t="n">
        <x:f>'Property Ownership Calculator'!$B$34/12</x:f>
        <x:v>0.005625000000000001</x:v>
      </x:c>
      <x:c r="D59" s="225" t="n">
        <x:f>IF(B59&gt;0,MIN('Property Ownership Calculator'!$F$38,B59+E59),0)</x:f>
        <x:v>1702.570003491565</x:v>
      </x:c>
      <x:c r="E59" s="225" t="n">
        <x:f>B59*C59</x:f>
        <x:v>1410.032409997678</x:v>
      </x:c>
      <x:c r="F59" s="225" t="n">
        <x:f>MAX(0,D59-E59)</x:f>
        <x:v>292.537593493887</x:v>
      </x:c>
      <x:c r="G59" s="225" t="n">
        <x:f>MAX(0,B59-F59)</x:f>
        <x:v>250379.89085053775</x:v>
      </x:c>
    </x:row>
    <x:row r="60" ht="25" customHeight="1">
      <x:c r="A60" s="254" t="n">
        <x:v>48</x:v>
      </x:c>
      <x:c r="B60" s="221" t="n">
        <x:f>G59</x:f>
        <x:v>250379.89085053775</x:v>
      </x:c>
      <x:c r="C60" s="222" t="n">
        <x:f>'Property Ownership Calculator'!$B$34/12</x:f>
        <x:v>0.005625000000000001</x:v>
      </x:c>
      <x:c r="D60" s="221" t="n">
        <x:f>IF(B60&gt;0,MIN('Property Ownership Calculator'!$F$38,B60+E60),0)</x:f>
        <x:v>1702.570003491565</x:v>
      </x:c>
      <x:c r="E60" s="221" t="n">
        <x:f>B60*C60</x:f>
        <x:v>1408.386886034275</x:v>
      </x:c>
      <x:c r="F60" s="221" t="n">
        <x:f>MAX(0,D60-E60)</x:f>
        <x:v>294.1831174572901</x:v>
      </x:c>
      <x:c r="G60" s="221" t="n">
        <x:f>MAX(0,B60-F60)</x:f>
        <x:v>250085.70773308046</x:v>
      </x:c>
    </x:row>
    <x:row r="61" ht="25" customHeight="1">
      <x:c r="A61" s="227" t="n">
        <x:v>49</x:v>
      </x:c>
      <x:c r="B61" s="225" t="n">
        <x:f>G60</x:f>
        <x:v>250085.70773308046</x:v>
      </x:c>
      <x:c r="C61" s="224" t="n">
        <x:f>'Property Ownership Calculator'!$B$34/12</x:f>
        <x:v>0.005625000000000001</x:v>
      </x:c>
      <x:c r="D61" s="225" t="n">
        <x:f>IF(B61&gt;0,MIN('Property Ownership Calculator'!$F$38,B61+E61),0)</x:f>
        <x:v>1702.570003491565</x:v>
      </x:c>
      <x:c r="E61" s="225" t="n">
        <x:f>B61*C61</x:f>
        <x:v>1406.7321059985777</x:v>
      </x:c>
      <x:c r="F61" s="225" t="n">
        <x:f>MAX(0,D61-E61)</x:f>
        <x:v>295.8378974929874</x:v>
      </x:c>
      <x:c r="G61" s="225" t="n">
        <x:f>MAX(0,B61-F61)</x:f>
        <x:v>249789.86983558748</x:v>
      </x:c>
    </x:row>
    <x:row r="62" ht="25" customHeight="1">
      <x:c r="A62" s="227" t="n">
        <x:v>50</x:v>
      </x:c>
      <x:c r="B62" s="225" t="n">
        <x:f>G61</x:f>
        <x:v>249789.86983558748</x:v>
      </x:c>
      <x:c r="C62" s="224" t="n">
        <x:f>'Property Ownership Calculator'!$B$34/12</x:f>
        <x:v>0.005625000000000001</x:v>
      </x:c>
      <x:c r="D62" s="225" t="n">
        <x:f>IF(B62&gt;0,MIN('Property Ownership Calculator'!$F$38,B62+E62),0)</x:f>
        <x:v>1702.570003491565</x:v>
      </x:c>
      <x:c r="E62" s="225" t="n">
        <x:f>B62*C62</x:f>
        <x:v>1405.0680178251798</x:v>
      </x:c>
      <x:c r="F62" s="225" t="n">
        <x:f>MAX(0,D62-E62)</x:f>
        <x:v>297.5019856663853</x:v>
      </x:c>
      <x:c r="G62" s="225" t="n">
        <x:f>MAX(0,B62-F62)</x:f>
        <x:v>249492.3678499211</x:v>
      </x:c>
    </x:row>
    <x:row r="63" ht="25" customHeight="1">
      <x:c r="A63" s="227" t="n">
        <x:v>51</x:v>
      </x:c>
      <x:c r="B63" s="225" t="n">
        <x:f>G62</x:f>
        <x:v>249492.3678499211</x:v>
      </x:c>
      <x:c r="C63" s="224" t="n">
        <x:f>'Property Ownership Calculator'!$B$34/12</x:f>
        <x:v>0.005625000000000001</x:v>
      </x:c>
      <x:c r="D63" s="225" t="n">
        <x:f>IF(B63&gt;0,MIN('Property Ownership Calculator'!$F$38,B63+E63),0)</x:f>
        <x:v>1702.570003491565</x:v>
      </x:c>
      <x:c r="E63" s="225" t="n">
        <x:f>B63*C63</x:f>
        <x:v>1403.3945691558065</x:v>
      </x:c>
      <x:c r="F63" s="225" t="n">
        <x:f>MAX(0,D63-E63)</x:f>
        <x:v>299.1754343357586</x:v>
      </x:c>
      <x:c r="G63" s="225" t="n">
        <x:f>MAX(0,B63-F63)</x:f>
        <x:v>249193.19241558536</x:v>
      </x:c>
    </x:row>
    <x:row r="64" ht="25" customHeight="1">
      <x:c r="A64" s="227" t="n">
        <x:v>52</x:v>
      </x:c>
      <x:c r="B64" s="225" t="n">
        <x:f>G63</x:f>
        <x:v>249193.19241558536</x:v>
      </x:c>
      <x:c r="C64" s="224" t="n">
        <x:f>'Property Ownership Calculator'!$B$34/12</x:f>
        <x:v>0.005625000000000001</x:v>
      </x:c>
      <x:c r="D64" s="225" t="n">
        <x:f>IF(B64&gt;0,MIN('Property Ownership Calculator'!$F$38,B64+E64),0)</x:f>
        <x:v>1702.570003491565</x:v>
      </x:c>
      <x:c r="E64" s="225" t="n">
        <x:f>B64*C64</x:f>
        <x:v>1401.7117073376678</x:v>
      </x:c>
      <x:c r="F64" s="225" t="n">
        <x:f>MAX(0,D64-E64)</x:f>
        <x:v>300.8582961538973</x:v>
      </x:c>
      <x:c r="G64" s="225" t="n">
        <x:f>MAX(0,B64-F64)</x:f>
        <x:v>248892.33411943147</x:v>
      </x:c>
    </x:row>
    <x:row r="65" ht="25" customHeight="1">
      <x:c r="A65" s="227" t="n">
        <x:v>53</x:v>
      </x:c>
      <x:c r="B65" s="225" t="n">
        <x:f>G64</x:f>
        <x:v>248892.33411943147</x:v>
      </x:c>
      <x:c r="C65" s="224" t="n">
        <x:f>'Property Ownership Calculator'!$B$34/12</x:f>
        <x:v>0.005625000000000001</x:v>
      </x:c>
      <x:c r="D65" s="225" t="n">
        <x:f>IF(B65&gt;0,MIN('Property Ownership Calculator'!$F$38,B65+E65),0)</x:f>
        <x:v>1702.570003491565</x:v>
      </x:c>
      <x:c r="E65" s="225" t="n">
        <x:f>B65*C65</x:f>
        <x:v>1400.0193794218021</x:v>
      </x:c>
      <x:c r="F65" s="225" t="n">
        <x:f>MAX(0,D65-E65)</x:f>
        <x:v>302.550624069763</x:v>
      </x:c>
      <x:c r="G65" s="225" t="n">
        <x:f>MAX(0,B65-F65)</x:f>
        <x:v>248589.7834953617</x:v>
      </x:c>
    </x:row>
    <x:row r="66" ht="25" customHeight="1">
      <x:c r="A66" s="227" t="n">
        <x:v>54</x:v>
      </x:c>
      <x:c r="B66" s="225" t="n">
        <x:f>G65</x:f>
        <x:v>248589.7834953617</x:v>
      </x:c>
      <x:c r="C66" s="224" t="n">
        <x:f>'Property Ownership Calculator'!$B$34/12</x:f>
        <x:v>0.005625000000000001</x:v>
      </x:c>
      <x:c r="D66" s="225" t="n">
        <x:f>IF(B66&gt;0,MIN('Property Ownership Calculator'!$F$38,B66+E66),0)</x:f>
        <x:v>1702.570003491565</x:v>
      </x:c>
      <x:c r="E66" s="225" t="n">
        <x:f>B66*C66</x:f>
        <x:v>1398.3175321614099</x:v>
      </x:c>
      <x:c r="F66" s="225" t="n">
        <x:f>MAX(0,D66-E66)</x:f>
        <x:v>304.25247133015523</x:v>
      </x:c>
      <x:c r="G66" s="225" t="n">
        <x:f>MAX(0,B66-F66)</x:f>
        <x:v>248285.53102403154</x:v>
      </x:c>
    </x:row>
    <x:row r="67" ht="25" customHeight="1">
      <x:c r="A67" s="227" t="n">
        <x:v>55</x:v>
      </x:c>
      <x:c r="B67" s="225" t="n">
        <x:f>G66</x:f>
        <x:v>248285.53102403154</x:v>
      </x:c>
      <x:c r="C67" s="224" t="n">
        <x:f>'Property Ownership Calculator'!$B$34/12</x:f>
        <x:v>0.005625000000000001</x:v>
      </x:c>
      <x:c r="D67" s="225" t="n">
        <x:f>IF(B67&gt;0,MIN('Property Ownership Calculator'!$F$38,B67+E67),0)</x:f>
        <x:v>1702.570003491565</x:v>
      </x:c>
      <x:c r="E67" s="225" t="n">
        <x:f>B67*C67</x:f>
        <x:v>1396.6061120101776</x:v>
      </x:c>
      <x:c r="F67" s="225" t="n">
        <x:f>MAX(0,D67-E67)</x:f>
        <x:v>305.96389148138746</x:v>
      </x:c>
      <x:c r="G67" s="225" t="n">
        <x:f>MAX(0,B67-F67)</x:f>
        <x:v>247979.56713255015</x:v>
      </x:c>
    </x:row>
    <x:row r="68" ht="25" customHeight="1">
      <x:c r="A68" s="227" t="n">
        <x:v>56</x:v>
      </x:c>
      <x:c r="B68" s="225" t="n">
        <x:f>G67</x:f>
        <x:v>247979.56713255015</x:v>
      </x:c>
      <x:c r="C68" s="224" t="n">
        <x:f>'Property Ownership Calculator'!$B$34/12</x:f>
        <x:v>0.005625000000000001</x:v>
      </x:c>
      <x:c r="D68" s="225" t="n">
        <x:f>IF(B68&gt;0,MIN('Property Ownership Calculator'!$F$38,B68+E68),0)</x:f>
        <x:v>1702.570003491565</x:v>
      </x:c>
      <x:c r="E68" s="225" t="n">
        <x:f>B68*C68</x:f>
        <x:v>1394.8850651205948</x:v>
      </x:c>
      <x:c r="F68" s="225" t="n">
        <x:f>MAX(0,D68-E68)</x:f>
        <x:v>307.68493837097026</x:v>
      </x:c>
      <x:c r="G68" s="225" t="n">
        <x:f>MAX(0,B68-F68)</x:f>
        <x:v>247671.88219417917</x:v>
      </x:c>
    </x:row>
    <x:row r="69" ht="25" customHeight="1">
      <x:c r="A69" s="227" t="n">
        <x:v>57</x:v>
      </x:c>
      <x:c r="B69" s="225" t="n">
        <x:f>G68</x:f>
        <x:v>247671.88219417917</x:v>
      </x:c>
      <x:c r="C69" s="224" t="n">
        <x:f>'Property Ownership Calculator'!$B$34/12</x:f>
        <x:v>0.005625000000000001</x:v>
      </x:c>
      <x:c r="D69" s="225" t="n">
        <x:f>IF(B69&gt;0,MIN('Property Ownership Calculator'!$F$38,B69+E69),0)</x:f>
        <x:v>1702.570003491565</x:v>
      </x:c>
      <x:c r="E69" s="225" t="n">
        <x:f>B69*C69</x:f>
        <x:v>1393.154337342258</x:v>
      </x:c>
      <x:c r="F69" s="225" t="n">
        <x:f>MAX(0,D69-E69)</x:f>
        <x:v>309.41566614930707</x:v>
      </x:c>
      <x:c r="G69" s="225" t="n">
        <x:f>MAX(0,B69-F69)</x:f>
        <x:v>247362.46652802985</x:v>
      </x:c>
    </x:row>
    <x:row r="70" ht="25" customHeight="1">
      <x:c r="A70" s="227" t="n">
        <x:v>58</x:v>
      </x:c>
      <x:c r="B70" s="225" t="n">
        <x:f>G69</x:f>
        <x:v>247362.46652802985</x:v>
      </x:c>
      <x:c r="C70" s="224" t="n">
        <x:f>'Property Ownership Calculator'!$B$34/12</x:f>
        <x:v>0.005625000000000001</x:v>
      </x:c>
      <x:c r="D70" s="225" t="n">
        <x:f>IF(B70&gt;0,MIN('Property Ownership Calculator'!$F$38,B70+E70),0)</x:f>
        <x:v>1702.570003491565</x:v>
      </x:c>
      <x:c r="E70" s="225" t="n">
        <x:f>B70*C70</x:f>
        <x:v>1391.413874220168</x:v>
      </x:c>
      <x:c r="F70" s="225" t="n">
        <x:f>MAX(0,D70-E70)</x:f>
        <x:v>311.15612927139705</x:v>
      </x:c>
      <x:c r="G70" s="225" t="n">
        <x:f>MAX(0,B70-F70)</x:f>
        <x:v>247051.31039875845</x:v>
      </x:c>
    </x:row>
    <x:row r="71" ht="25" customHeight="1">
      <x:c r="A71" s="227" t="n">
        <x:v>59</x:v>
      </x:c>
      <x:c r="B71" s="225" t="n">
        <x:f>G70</x:f>
        <x:v>247051.31039875845</x:v>
      </x:c>
      <x:c r="C71" s="224" t="n">
        <x:f>'Property Ownership Calculator'!$B$34/12</x:f>
        <x:v>0.005625000000000001</x:v>
      </x:c>
      <x:c r="D71" s="225" t="n">
        <x:f>IF(B71&gt;0,MIN('Property Ownership Calculator'!$F$38,B71+E71),0)</x:f>
        <x:v>1702.570003491565</x:v>
      </x:c>
      <x:c r="E71" s="225" t="n">
        <x:f>B71*C71</x:f>
        <x:v>1389.6636209930164</x:v>
      </x:c>
      <x:c r="F71" s="225" t="n">
        <x:f>MAX(0,D71-E71)</x:f>
        <x:v>312.90638249854874</x:v>
      </x:c>
      <x:c r="G71" s="225" t="n">
        <x:f>MAX(0,B71-F71)</x:f>
        <x:v>246738.4040162599</x:v>
      </x:c>
    </x:row>
    <x:row r="72" ht="25" customHeight="1">
      <x:c r="A72" s="254" t="n">
        <x:v>60</x:v>
      </x:c>
      <x:c r="B72" s="221" t="n">
        <x:f>G71</x:f>
        <x:v>246738.4040162599</x:v>
      </x:c>
      <x:c r="C72" s="222" t="n">
        <x:f>'Property Ownership Calculator'!$B$34/12</x:f>
        <x:v>0.005625000000000001</x:v>
      </x:c>
      <x:c r="D72" s="221" t="n">
        <x:f>IF(B72&gt;0,MIN('Property Ownership Calculator'!$F$38,B72+E72),0)</x:f>
        <x:v>1702.570003491565</x:v>
      </x:c>
      <x:c r="E72" s="221" t="n">
        <x:f>B72*C72</x:f>
        <x:v>1387.9035225914622</x:v>
      </x:c>
      <x:c r="F72" s="221" t="n">
        <x:f>MAX(0,D72-E72)</x:f>
        <x:v>314.6664809001029</x:v>
      </x:c>
      <x:c r="G72" s="221" t="n">
        <x:f>MAX(0,B72-F72)</x:f>
        <x:v>246423.7375353598</x:v>
      </x:c>
    </x:row>
    <x:row r="73" ht="25" customHeight="1">
      <x:c r="A73" s="6"/>
      <x:c r="B73" s="6"/>
      <x:c r="C73" s="6"/>
      <x:c r="D73" s="6"/>
      <x:c r="E73" s="6"/>
      <x:c r="F73" s="6"/>
      <x:c r="G73" s="6"/>
    </x:row>
    <x:row r="74" ht="25" customHeight="1">
      <x:c r="A74" s="6"/>
      <x:c r="B74" s="6"/>
      <x:c r="C74" s="6"/>
      <x:c r="D74" s="6"/>
      <x:c r="E74" s="6"/>
      <x:c r="F74" s="6"/>
      <x:c r="G74" s="6"/>
    </x:row>
    <x:row r="75" ht="25" customHeight="1">
      <x:c r="A75" s="6"/>
      <x:c r="B75" s="6"/>
      <x:c r="C75" s="6"/>
      <x:c r="D75" s="6"/>
      <x:c r="E75" s="6"/>
      <x:c r="F75" s="6"/>
      <x:c r="G75" s="6"/>
    </x:row>
    <x:row r="76" ht="25" customHeight="1">
      <x:c r="A76" s="6"/>
      <x:c r="B76" s="6"/>
      <x:c r="C76" s="6"/>
      <x:c r="D76" s="6"/>
      <x:c r="E76" s="6"/>
      <x:c r="F76" s="6"/>
      <x:c r="G76" s="6"/>
    </x:row>
    <x:row r="77" ht="25" customHeight="1">
      <x:c r="A77" s="6"/>
      <x:c r="B77" s="6"/>
      <x:c r="C77" s="6"/>
      <x:c r="D77" s="6"/>
      <x:c r="E77" s="6"/>
      <x:c r="F77" s="6"/>
      <x:c r="G77" s="6"/>
    </x:row>
    <x:row r="78" ht="25" customHeight="1">
      <x:c r="A78" s="6"/>
      <x:c r="B78" s="6"/>
      <x:c r="C78" s="6"/>
      <x:c r="D78" s="6"/>
      <x:c r="E78" s="6"/>
      <x:c r="F78" s="6"/>
      <x:c r="G78" s="6"/>
    </x:row>
    <x:row r="79" ht="25" customHeight="1">
      <x:c r="A79" s="6"/>
      <x:c r="B79" s="6"/>
      <x:c r="C79" s="6"/>
      <x:c r="D79" s="6"/>
      <x:c r="E79" s="6"/>
      <x:c r="F79" s="6"/>
      <x:c r="G79" s="6"/>
    </x:row>
    <x:row r="80" ht="25" customHeight="1">
      <x:c r="A80" s="6"/>
      <x:c r="B80" s="6"/>
      <x:c r="C80" s="6"/>
      <x:c r="D80" s="6"/>
      <x:c r="E80" s="6"/>
      <x:c r="F80" s="6"/>
      <x:c r="G80" s="6"/>
    </x:row>
  </x:sheetData>
  <x:mergeCells>
    <x:mergeCell ref="A1:G2"/>
    <x:mergeCell ref="A3:G5"/>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36" hidden="0" customWidth="1"/>
    <x:col min="2" max="2" width="4" hidden="0" customWidth="1"/>
    <x:col min="3" max="3" width="20" hidden="0" customWidth="1"/>
    <x:col min="4" max="4" width="20" hidden="0" customWidth="1"/>
    <x:col min="5" max="5" width="20" hidden="0" customWidth="1"/>
    <x:col min="6" max="6" width="20" hidden="0" customWidth="1"/>
    <x:col min="7" max="7" width="20" hidden="0" customWidth="1"/>
  </x:cols>
  <x:sheetData>
    <x:row r="1" ht="28" customHeight="1">
      <x:c r="A1" s="202" t="str">
        <x:v>FIVE-YEAR VIEW | Cash flow + equity</x:v>
      </x:c>
      <x:c r="B1" s="202" t="str">
        <x:v>FIVE-YEAR VIEW | Cash flow + equity</x:v>
      </x:c>
      <x:c r="C1" s="202" t="str">
        <x:v>FIVE-YEAR VIEW | Cash flow + equity</x:v>
      </x:c>
      <x:c r="D1" s="202" t="str">
        <x:v>FIVE-YEAR VIEW | Cash flow + equity</x:v>
      </x:c>
      <x:c r="E1" s="202" t="str">
        <x:v>FIVE-YEAR VIEW | Cash flow + equity</x:v>
      </x:c>
      <x:c r="F1" s="202" t="str">
        <x:v>FIVE-YEAR VIEW | Cash flow + equity</x:v>
      </x:c>
      <x:c r="G1" s="202" t="str">
        <x:v>FIVE-YEAR VIEW | Cash flow + equity</x:v>
      </x:c>
    </x:row>
    <x:row r="2" ht="24" customHeight="1">
      <x:c r="A2" s="202" t="str">
        <x:v>FIVE-YEAR VIEW | Cash flow + equity</x:v>
      </x:c>
      <x:c r="B2" s="202" t="str">
        <x:v>FIVE-YEAR VIEW | Cash flow + equity</x:v>
      </x:c>
      <x:c r="C2" s="202" t="str">
        <x:v>FIVE-YEAR VIEW | Cash flow + equity</x:v>
      </x:c>
      <x:c r="D2" s="202" t="str">
        <x:v>FIVE-YEAR VIEW | Cash flow + equity</x:v>
      </x:c>
      <x:c r="E2" s="202" t="str">
        <x:v>FIVE-YEAR VIEW | Cash flow + equity</x:v>
      </x:c>
      <x:c r="F2" s="202" t="str">
        <x:v>FIVE-YEAR VIEW | Cash flow + equity</x:v>
      </x:c>
      <x:c r="G2" s="202" t="str">
        <x:v>FIVE-YEAR VIEW | Cash flow + equity</x:v>
      </x:c>
    </x:row>
    <x:row r="3" ht="25" customHeight="1">
      <x:c r="A3" s="203" t="str">
        <x:v>Stabilized operating years, not tax years. Occupancy and available nights stay constant. Appreciation defaults to zero. Cash reserves are included in initial investment, not counted as an annual return. No sale, refinancing or tax benefits are assumed.</x:v>
      </x:c>
      <x:c r="B3" s="203" t="str">
        <x:v>Stabilized operating years, not tax years. Occupancy and available nights stay constant. Appreciation defaults to zero. Cash reserves are included in initial investment, not counted as an annual return. No sale, refinancing or tax benefits are assumed.</x:v>
      </x:c>
      <x:c r="C3" s="203" t="str">
        <x:v>Stabilized operating years, not tax years. Occupancy and available nights stay constant. Appreciation defaults to zero. Cash reserves are included in initial investment, not counted as an annual return. No sale, refinancing or tax benefits are assumed.</x:v>
      </x:c>
      <x:c r="D3" s="203" t="str">
        <x:v>Stabilized operating years, not tax years. Occupancy and available nights stay constant. Appreciation defaults to zero. Cash reserves are included in initial investment, not counted as an annual return. No sale, refinancing or tax benefits are assumed.</x:v>
      </x:c>
      <x:c r="E3" s="203" t="str">
        <x:v>Stabilized operating years, not tax years. Occupancy and available nights stay constant. Appreciation defaults to zero. Cash reserves are included in initial investment, not counted as an annual return. No sale, refinancing or tax benefits are assumed.</x:v>
      </x:c>
      <x:c r="F3" s="203" t="str">
        <x:v>Stabilized operating years, not tax years. Occupancy and available nights stay constant. Appreciation defaults to zero. Cash reserves are included in initial investment, not counted as an annual return. No sale, refinancing or tax benefits are assumed.</x:v>
      </x:c>
      <x:c r="G3" s="203" t="str">
        <x:v>Stabilized operating years, not tax years. Occupancy and available nights stay constant. Appreciation defaults to zero. Cash reserves are included in initial investment, not counted as an annual return. No sale, refinancing or tax benefits are assumed.</x:v>
      </x:c>
    </x:row>
    <x:row r="4" ht="25" customHeight="1">
      <x:c r="A4" s="203" t="str">
        <x:v>Stabilized operating years, not tax years. Occupancy and available nights stay constant. Appreciation defaults to zero. Cash reserves are included in initial investment, not counted as an annual return. No sale, refinancing or tax benefits are assumed.</x:v>
      </x:c>
      <x:c r="B4" s="203" t="str">
        <x:v>Stabilized operating years, not tax years. Occupancy and available nights stay constant. Appreciation defaults to zero. Cash reserves are included in initial investment, not counted as an annual return. No sale, refinancing or tax benefits are assumed.</x:v>
      </x:c>
      <x:c r="C4" s="203" t="str">
        <x:v>Stabilized operating years, not tax years. Occupancy and available nights stay constant. Appreciation defaults to zero. Cash reserves are included in initial investment, not counted as an annual return. No sale, refinancing or tax benefits are assumed.</x:v>
      </x:c>
      <x:c r="D4" s="203" t="str">
        <x:v>Stabilized operating years, not tax years. Occupancy and available nights stay constant. Appreciation defaults to zero. Cash reserves are included in initial investment, not counted as an annual return. No sale, refinancing or tax benefits are assumed.</x:v>
      </x:c>
      <x:c r="E4" s="203" t="str">
        <x:v>Stabilized operating years, not tax years. Occupancy and available nights stay constant. Appreciation defaults to zero. Cash reserves are included in initial investment, not counted as an annual return. No sale, refinancing or tax benefits are assumed.</x:v>
      </x:c>
      <x:c r="F4" s="203" t="str">
        <x:v>Stabilized operating years, not tax years. Occupancy and available nights stay constant. Appreciation defaults to zero. Cash reserves are included in initial investment, not counted as an annual return. No sale, refinancing or tax benefits are assumed.</x:v>
      </x:c>
      <x:c r="G4" s="203" t="str">
        <x:v>Stabilized operating years, not tax years. Occupancy and available nights stay constant. Appreciation defaults to zero. Cash reserves are included in initial investment, not counted as an annual return. No sale, refinancing or tax benefits are assumed.</x:v>
      </x:c>
    </x:row>
    <x:row r="5" ht="25" customHeight="1">
      <x:c r="A5" s="200" t="str">
        <x:v>Stabilized operating years, not tax years. Occupancy and available nights stay constant. Appreciation defaults to zero. Cash reserves are included in initial investment, not counted as an annual return. No sale, refinancing or tax benefits are assumed.</x:v>
      </x:c>
      <x:c r="B5" s="200" t="str">
        <x:v>Stabilized operating years, not tax years. Occupancy and available nights stay constant. Appreciation defaults to zero. Cash reserves are included in initial investment, not counted as an annual return. No sale, refinancing or tax benefits are assumed.</x:v>
      </x:c>
      <x:c r="C5" s="200" t="str">
        <x:v>Stabilized operating years, not tax years. Occupancy and available nights stay constant. Appreciation defaults to zero. Cash reserves are included in initial investment, not counted as an annual return. No sale, refinancing or tax benefits are assumed.</x:v>
      </x:c>
      <x:c r="D5" s="200" t="str">
        <x:v>Stabilized operating years, not tax years. Occupancy and available nights stay constant. Appreciation defaults to zero. Cash reserves are included in initial investment, not counted as an annual return. No sale, refinancing or tax benefits are assumed.</x:v>
      </x:c>
      <x:c r="E5" s="200" t="str">
        <x:v>Stabilized operating years, not tax years. Occupancy and available nights stay constant. Appreciation defaults to zero. Cash reserves are included in initial investment, not counted as an annual return. No sale, refinancing or tax benefits are assumed.</x:v>
      </x:c>
      <x:c r="F5" s="200" t="str">
        <x:v>Stabilized operating years, not tax years. Occupancy and available nights stay constant. Appreciation defaults to zero. Cash reserves are included in initial investment, not counted as an annual return. No sale, refinancing or tax benefits are assumed.</x:v>
      </x:c>
      <x:c r="G5" s="200" t="str">
        <x:v>Stabilized operating years, not tax years. Occupancy and available nights stay constant. Appreciation defaults to zero. Cash reserves are included in initial investment, not counted as an annual return. No sale, refinancing or tax benefits are assumed.</x:v>
      </x:c>
    </x:row>
    <x:row r="6" ht="25" customHeight="1">
      <x:c r="A6" s="317"/>
      <x:c r="B6" s="317"/>
      <x:c r="C6" s="317"/>
      <x:c r="D6" s="317"/>
      <x:c r="E6" s="317"/>
      <x:c r="F6" s="317"/>
      <x:c r="G6" s="317"/>
    </x:row>
    <x:row r="7" ht="25" customHeight="1">
      <x:c r="A7" s="200"/>
      <x:c r="B7" s="200"/>
      <x:c r="C7" s="200"/>
      <x:c r="D7" s="200"/>
      <x:c r="E7" s="200"/>
      <x:c r="F7" s="200"/>
      <x:c r="G7" s="200"/>
    </x:row>
    <x:row r="8" ht="25" customHeight="1">
      <x:c r="A8" s="200"/>
      <x:c r="B8" s="200"/>
      <x:c r="C8" s="200"/>
      <x:c r="D8" s="200"/>
      <x:c r="E8" s="200"/>
      <x:c r="F8" s="200"/>
      <x:c r="G8" s="200"/>
    </x:row>
    <x:row r="9" ht="25" customHeight="1">
      <x:c r="A9" s="200"/>
      <x:c r="B9" s="200"/>
      <x:c r="C9" s="200"/>
      <x:c r="D9" s="200"/>
      <x:c r="E9" s="200"/>
      <x:c r="F9" s="200"/>
      <x:c r="G9" s="200"/>
    </x:row>
    <x:row r="10" ht="25" customHeight="1">
      <x:c r="A10" s="200"/>
      <x:c r="B10" s="200"/>
      <x:c r="C10" s="200"/>
      <x:c r="D10" s="200"/>
      <x:c r="E10" s="200"/>
      <x:c r="F10" s="200"/>
      <x:c r="G10" s="200"/>
    </x:row>
    <x:row r="11" ht="25" customHeight="1">
      <x:c r="A11" s="200"/>
      <x:c r="B11" s="200"/>
      <x:c r="C11" s="200"/>
      <x:c r="D11" s="200"/>
      <x:c r="E11" s="200"/>
      <x:c r="F11" s="200"/>
      <x:c r="G11" s="200"/>
    </x:row>
    <x:row r="12" ht="30" customHeight="1">
      <x:c r="A12" s="199" t="str">
        <x:v>Metric</x:v>
      </x:c>
      <x:c r="B12" s="199" t="str"/>
      <x:c r="C12" s="199" t="n">
        <x:v>1</x:v>
      </x:c>
      <x:c r="D12" s="199" t="n">
        <x:v>2</x:v>
      </x:c>
      <x:c r="E12" s="199" t="n">
        <x:v>3</x:v>
      </x:c>
      <x:c r="F12" s="199" t="n">
        <x:v>4</x:v>
      </x:c>
      <x:c r="G12" s="199" t="n">
        <x:v>5</x:v>
      </x:c>
    </x:row>
    <x:row r="13" ht="25" customHeight="1">
      <x:c r="A13" s="200" t="str">
        <x:v>Gross booking revenue</x:v>
      </x:c>
      <x:c r="B13" s="200"/>
      <x:c r="C13" s="225" t="n">
        <x:f>'Property Ownership Calculator'!$F$21*(1+'Property Ownership Calculator'!$B$70)^(C$12-1)</x:f>
        <x:v>64350.00000000001</x:v>
      </x:c>
      <x:c r="D13" s="225" t="n">
        <x:f>'Property Ownership Calculator'!$F$21*(1+'Property Ownership Calculator'!$B$70)^(D$12-1)</x:f>
        <x:v>64350.00000000001</x:v>
      </x:c>
      <x:c r="E13" s="225" t="n">
        <x:f>'Property Ownership Calculator'!$F$21*(1+'Property Ownership Calculator'!$B$70)^(E$12-1)</x:f>
        <x:v>64350.00000000001</x:v>
      </x:c>
      <x:c r="F13" s="225" t="n">
        <x:f>'Property Ownership Calculator'!$F$21*(1+'Property Ownership Calculator'!$B$70)^(F$12-1)</x:f>
        <x:v>64350.00000000001</x:v>
      </x:c>
      <x:c r="G13" s="225" t="n">
        <x:f>'Property Ownership Calculator'!$F$21*(1+'Property Ownership Calculator'!$B$70)^(G$12-1)</x:f>
        <x:v>64350.00000000001</x:v>
      </x:c>
    </x:row>
    <x:row r="14" ht="25" customHeight="1">
      <x:c r="A14" s="200" t="str">
        <x:v>Variable cash costs + reserves</x:v>
      </x:c>
      <x:c r="B14" s="200"/>
      <x:c r="C14" s="225" t="n">
        <x:f>('Property Ownership Calculator'!$F$22+'Property Ownership Calculator'!$F$24+'Property Ownership Calculator'!$F$27+'Property Ownership Calculator'!$F$28+'Property Ownership Calculator'!$F$29)*(1+'Property Ownership Calculator'!$B$70)^(C$12-1)+('Property Ownership Calculator'!$F$25+'Property Ownership Calculator'!$F$26)*(1+'Property Ownership Calculator'!$B$73)^(C$12-1)</x:f>
        <x:v>35367.75</x:v>
      </x:c>
      <x:c r="D14" s="225" t="n">
        <x:f>('Property Ownership Calculator'!$F$22+'Property Ownership Calculator'!$F$24+'Property Ownership Calculator'!$F$27+'Property Ownership Calculator'!$F$28+'Property Ownership Calculator'!$F$29)*(1+'Property Ownership Calculator'!$B$70)^(D$12-1)+('Property Ownership Calculator'!$F$25+'Property Ownership Calculator'!$F$26)*(1+'Property Ownership Calculator'!$B$73)^(D$12-1)</x:f>
        <x:v>35688.51</x:v>
      </x:c>
      <x:c r="E14" s="225" t="n">
        <x:f>('Property Ownership Calculator'!$F$22+'Property Ownership Calculator'!$F$24+'Property Ownership Calculator'!$F$27+'Property Ownership Calculator'!$F$28+'Property Ownership Calculator'!$F$29)*(1+'Property Ownership Calculator'!$B$70)^(E$12-1)+('Property Ownership Calculator'!$F$25+'Property Ownership Calculator'!$F$26)*(1+'Property Ownership Calculator'!$B$73)^(E$12-1)</x:f>
        <x:v>36018.8928</x:v>
      </x:c>
      <x:c r="F14" s="225" t="n">
        <x:f>('Property Ownership Calculator'!$F$22+'Property Ownership Calculator'!$F$24+'Property Ownership Calculator'!$F$27+'Property Ownership Calculator'!$F$28+'Property Ownership Calculator'!$F$29)*(1+'Property Ownership Calculator'!$B$70)^(F$12-1)+('Property Ownership Calculator'!$F$25+'Property Ownership Calculator'!$F$26)*(1+'Property Ownership Calculator'!$B$73)^(F$12-1)</x:f>
        <x:v>36359.187084000005</x:v>
      </x:c>
      <x:c r="G14" s="225" t="n">
        <x:f>('Property Ownership Calculator'!$F$22+'Property Ownership Calculator'!$F$24+'Property Ownership Calculator'!$F$27+'Property Ownership Calculator'!$F$28+'Property Ownership Calculator'!$F$29)*(1+'Property Ownership Calculator'!$B$70)^(G$12-1)+('Property Ownership Calculator'!$F$25+'Property Ownership Calculator'!$F$26)*(1+'Property Ownership Calculator'!$B$73)^(G$12-1)</x:f>
        <x:v>36709.69019652</x:v>
      </x:c>
    </x:row>
    <x:row r="15" ht="25" customHeight="1">
      <x:c r="A15" s="200" t="str">
        <x:v>Fixed operating expenses</x:v>
      </x:c>
      <x:c r="B15" s="200"/>
      <x:c r="C15" s="225" t="n">
        <x:f>'Property Ownership Calculator'!$F$30*(1+'Property Ownership Calculator'!$B$71)^(C$12-1)</x:f>
        <x:v>17100</x:v>
      </x:c>
      <x:c r="D15" s="225" t="n">
        <x:f>'Property Ownership Calculator'!$F$30*(1+'Property Ownership Calculator'!$B$71)^(D$12-1)</x:f>
        <x:v>17613</x:v>
      </x:c>
      <x:c r="E15" s="225" t="n">
        <x:f>'Property Ownership Calculator'!$F$30*(1+'Property Ownership Calculator'!$B$71)^(E$12-1)</x:f>
        <x:v>18141.39</x:v>
      </x:c>
      <x:c r="F15" s="225" t="n">
        <x:f>'Property Ownership Calculator'!$F$30*(1+'Property Ownership Calculator'!$B$71)^(F$12-1)</x:f>
        <x:v>18685.6317</x:v>
      </x:c>
      <x:c r="G15" s="225" t="n">
        <x:f>'Property Ownership Calculator'!$F$30*(1+'Property Ownership Calculator'!$B$71)^(G$12-1)</x:f>
        <x:v>19246.200651</x:v>
      </x:c>
    </x:row>
    <x:row r="16" ht="25" customHeight="1">
      <x:c r="A16" s="200" t="str">
        <x:v>CapEx reserve (NOI add-back)</x:v>
      </x:c>
      <x:c r="B16" s="200"/>
      <x:c r="C16" s="225" t="n">
        <x:f>'Property Ownership Calculator'!$F$28*(1+'Property Ownership Calculator'!$B$70)^(C$12-1)</x:f>
        <x:v>2178.0000000000005</x:v>
      </x:c>
      <x:c r="D16" s="225" t="n">
        <x:f>'Property Ownership Calculator'!$F$28*(1+'Property Ownership Calculator'!$B$70)^(D$12-1)</x:f>
        <x:v>2178.0000000000005</x:v>
      </x:c>
      <x:c r="E16" s="225" t="n">
        <x:f>'Property Ownership Calculator'!$F$28*(1+'Property Ownership Calculator'!$B$70)^(E$12-1)</x:f>
        <x:v>2178.0000000000005</x:v>
      </x:c>
      <x:c r="F16" s="225" t="n">
        <x:f>'Property Ownership Calculator'!$F$28*(1+'Property Ownership Calculator'!$B$70)^(F$12-1)</x:f>
        <x:v>2178.0000000000005</x:v>
      </x:c>
      <x:c r="G16" s="225" t="n">
        <x:f>'Property Ownership Calculator'!$F$28*(1+'Property Ownership Calculator'!$B$70)^(G$12-1)</x:f>
        <x:v>2178.0000000000005</x:v>
      </x:c>
    </x:row>
    <x:row r="17" ht="31" customHeight="1">
      <x:c r="A17" s="199" t="str">
        <x:v>NET OPERATING INCOME</x:v>
      </x:c>
      <x:c r="B17" s="199"/>
      <x:c r="C17" s="221" t="n">
        <x:f>C13-C14-C15+C16</x:f>
        <x:v>14060.250000000007</x:v>
      </x:c>
      <x:c r="D17" s="221" t="n">
        <x:f>D13-D14-D15+D16</x:f>
        <x:v>13226.490000000005</x:v>
      </x:c>
      <x:c r="E17" s="221" t="n">
        <x:f>E13-E14-E15+E16</x:f>
        <x:v>12367.717200000006</x:v>
      </x:c>
      <x:c r="F17" s="221" t="n">
        <x:f>F13-F14-F15+F16</x:f>
        <x:v>11483.181216</x:v>
      </x:c>
      <x:c r="G17" s="221" t="n">
        <x:f>G13-G14-G15+G16</x:f>
        <x:v>10572.109152480007</x:v>
      </x:c>
    </x:row>
    <x:row r="18" ht="25" customHeight="1">
      <x:c r="A18" s="200" t="str">
        <x:v>Debt service</x:v>
      </x:c>
      <x:c r="B18" s="200"/>
      <x:c r="C18" s="225" t="n">
        <x:f>SUM('Loan Amortization'!D13:D24)</x:f>
        <x:v>20430.840041898777</x:v>
      </x:c>
      <x:c r="D18" s="225" t="n">
        <x:f>SUM('Loan Amortization'!D25:D36)</x:f>
        <x:v>20430.840041898777</x:v>
      </x:c>
      <x:c r="E18" s="225" t="n">
        <x:f>SUM('Loan Amortization'!D37:D48)</x:f>
        <x:v>20430.840041898777</x:v>
      </x:c>
      <x:c r="F18" s="225" t="n">
        <x:f>SUM('Loan Amortization'!D49:D60)</x:f>
        <x:v>20430.840041898777</x:v>
      </x:c>
      <x:c r="G18" s="225" t="n">
        <x:f>SUM('Loan Amortization'!D61:D72)</x:f>
        <x:v>20430.840041898777</x:v>
      </x:c>
    </x:row>
    <x:row r="19" ht="31" customHeight="1">
      <x:c r="A19" s="199" t="str">
        <x:v>CUMULATIVE CASH FLOW</x:v>
      </x:c>
      <x:c r="B19" s="199"/>
      <x:c r="C19" s="221" t="n">
        <x:f>SUM($C20:C20)</x:f>
        <x:v>-8548.59004189877</x:v>
      </x:c>
      <x:c r="D19" s="221" t="n">
        <x:f>SUM($C20:D20)</x:f>
        <x:v>-17930.94008379754</x:v>
      </x:c>
      <x:c r="E19" s="221" t="n">
        <x:f>SUM($C20:E20)</x:f>
        <x:v>-28172.06292569631</x:v>
      </x:c>
      <x:c r="F19" s="221" t="n">
        <x:f>SUM($C20:F20)</x:f>
        <x:v>-39297.72175159509</x:v>
      </x:c>
      <x:c r="G19" s="221" t="n">
        <x:f>SUM($C20:G20)</x:f>
        <x:v>-51334.452641013864</x:v>
      </x:c>
    </x:row>
    <x:row r="20" ht="31" customHeight="1">
      <x:c r="A20" s="199" t="str">
        <x:v>Annual cash flow</x:v>
      </x:c>
      <x:c r="B20" s="199"/>
      <x:c r="C20" s="221" t="n">
        <x:f>C17-C18-C16</x:f>
        <x:v>-8548.59004189877</x:v>
      </x:c>
      <x:c r="D20" s="221" t="n">
        <x:f>D17-D18-D16</x:f>
        <x:v>-9382.350041898771</x:v>
      </x:c>
      <x:c r="E20" s="221" t="n">
        <x:f>E17-E18-E16</x:f>
        <x:v>-10241.12284189877</x:v>
      </x:c>
      <x:c r="F20" s="221" t="n">
        <x:f>F17-F18-F16</x:f>
        <x:v>-11125.658825898776</x:v>
      </x:c>
      <x:c r="G20" s="221" t="n">
        <x:f>G17-G18-G16</x:f>
        <x:v>-12036.73088941877</x:v>
      </x:c>
    </x:row>
    <x:row r="21" ht="25" customHeight="1">
      <x:c r="A21" s="200" t="str">
        <x:v>Annual cash-on-cash</x:v>
      </x:c>
      <x:c r="B21" s="200"/>
      <x:c r="C21" s="224" t="n">
        <x:f>IF('Property Ownership Calculator'!$F$39&gt;0,C20/'Property Ownership Calculator'!$F$39,"N/M")</x:f>
        <x:v>-0.06084405723771366</x:v>
      </x:c>
      <x:c r="D21" s="224" t="n">
        <x:f>IF('Property Ownership Calculator'!$F$39&gt;0,D20/'Property Ownership Calculator'!$F$39,"N/M")</x:f>
        <x:v>-0.06677829211315851</x:v>
      </x:c>
      <x:c r="E21" s="224" t="n">
        <x:f>IF('Property Ownership Calculator'!$F$39&gt;0,E20/'Property Ownership Calculator'!$F$39,"N/M")</x:f>
        <x:v>-0.07289055403486669</x:v>
      </x:c>
      <x:c r="F21" s="224" t="n">
        <x:f>IF('Property Ownership Calculator'!$F$39&gt;0,F20/'Property Ownership Calculator'!$F$39,"N/M")</x:f>
        <x:v>-0.07918618381422617</x:v>
      </x:c>
      <x:c r="G21" s="224" t="n">
        <x:f>IF('Property Ownership Calculator'!$F$39&gt;0,G20/'Property Ownership Calculator'!$F$39,"N/M")</x:f>
        <x:v>-0.08567068248696634</x:v>
      </x:c>
    </x:row>
    <x:row r="22" ht="25" customHeight="1">
      <x:c r="A22" s="200" t="str">
        <x:v>Ending loan balance</x:v>
      </x:c>
      <x:c r="B22" s="200"/>
      <x:c r="C22" s="225" t="n">
        <x:f>'Loan Amortization'!G24</x:f>
        <x:v>259702.4113568242</x:v>
      </x:c>
      <x:c r="D22" s="225" t="n">
        <x:f>'Loan Amortization'!G36</x:f>
        <x:v>256710.03238904738</x:v>
      </x:c>
      <x:c r="E22" s="225" t="n">
        <x:f>'Loan Amortization'!G48</x:f>
        <x:v>253509.30024830348</x:v>
      </x:c>
      <x:c r="F22" s="225" t="n">
        <x:f>'Loan Amortization'!G60</x:f>
        <x:v>250085.70773308046</x:v>
      </x:c>
      <x:c r="G22" s="225" t="n">
        <x:f>'Loan Amortization'!G72</x:f>
        <x:v>246423.7375353598</x:v>
      </x:c>
    </x:row>
    <x:row r="23" ht="25" customHeight="1">
      <x:c r="A23" s="200" t="str">
        <x:v>Principal equity buildup</x:v>
      </x:c>
      <x:c r="B23" s="200"/>
      <x:c r="C23" s="225" t="n">
        <x:f>'Property Ownership Calculator'!$F$37-C22</x:f>
        <x:v>2797.5886431758117</x:v>
      </x:c>
      <x:c r="D23" s="225" t="n">
        <x:f>'Property Ownership Calculator'!$F$37-D22</x:f>
        <x:v>5789.967610952619</x:v>
      </x:c>
      <x:c r="E23" s="225" t="n">
        <x:f>'Property Ownership Calculator'!$F$37-E22</x:f>
        <x:v>8990.69975169652</x:v>
      </x:c>
      <x:c r="F23" s="225" t="n">
        <x:f>'Property Ownership Calculator'!$F$37-F22</x:f>
        <x:v>12414.29226691954</x:v>
      </x:c>
      <x:c r="G23" s="225" t="n">
        <x:f>'Property Ownership Calculator'!$F$37-G22</x:f>
        <x:v>16076.262464640196</x:v>
      </x:c>
    </x:row>
    <x:row r="24" ht="25" customHeight="1">
      <x:c r="A24" s="200" t="str">
        <x:v>Illustrative property value</x:v>
      </x:c>
      <x:c r="B24" s="200"/>
      <x:c r="C24" s="225" t="n">
        <x:f>'Property Ownership Calculator'!$B$17*(1+'Property Ownership Calculator'!$B$72)^C$12</x:f>
        <x:v>350000</x:v>
      </x:c>
      <x:c r="D24" s="225" t="n">
        <x:f>'Property Ownership Calculator'!$B$17*(1+'Property Ownership Calculator'!$B$72)^D$12</x:f>
        <x:v>350000</x:v>
      </x:c>
      <x:c r="E24" s="225" t="n">
        <x:f>'Property Ownership Calculator'!$B$17*(1+'Property Ownership Calculator'!$B$72)^E$12</x:f>
        <x:v>350000</x:v>
      </x:c>
      <x:c r="F24" s="225" t="n">
        <x:f>'Property Ownership Calculator'!$B$17*(1+'Property Ownership Calculator'!$B$72)^F$12</x:f>
        <x:v>350000</x:v>
      </x:c>
      <x:c r="G24" s="225" t="n">
        <x:f>'Property Ownership Calculator'!$B$17*(1+'Property Ownership Calculator'!$B$72)^G$12</x:f>
        <x:v>350000</x:v>
      </x:c>
    </x:row>
    <x:row r="25" ht="31" customHeight="1">
      <x:c r="A25" s="199" t="str">
        <x:v>Gross paper equity</x:v>
      </x:c>
      <x:c r="B25" s="199"/>
      <x:c r="C25" s="221" t="n">
        <x:f>C24-C22</x:f>
        <x:v>90297.58864317581</x:v>
      </x:c>
      <x:c r="D25" s="221" t="n">
        <x:f>D24-D22</x:f>
        <x:v>93289.96761095262</x:v>
      </x:c>
      <x:c r="E25" s="221" t="n">
        <x:f>E24-E22</x:f>
        <x:v>96490.69975169652</x:v>
      </x:c>
      <x:c r="F25" s="221" t="n">
        <x:f>F24-F22</x:f>
        <x:v>99914.29226691954</x:v>
      </x:c>
      <x:c r="G25" s="221" t="n">
        <x:f>G24-G22</x:f>
        <x:v>103576.2624646402</x:v>
      </x:c>
    </x:row>
    <x:row r="26" ht="25" customHeight="1">
      <x:c r="A26" s="200"/>
      <x:c r="B26" s="200"/>
      <x:c r="C26" s="200"/>
      <x:c r="D26" s="200"/>
      <x:c r="E26" s="200"/>
      <x:c r="F26" s="200"/>
      <x:c r="G26" s="200"/>
    </x:row>
    <x:row r="27" ht="25" customHeight="1">
      <x:c r="A27" s="200"/>
      <x:c r="B27" s="200"/>
      <x:c r="C27" s="200"/>
      <x:c r="D27" s="200"/>
      <x:c r="E27" s="200"/>
      <x:c r="F27" s="200"/>
      <x:c r="G27" s="200"/>
    </x:row>
    <x:row r="28" ht="25" customHeight="1">
      <x:c r="A28" s="200" t="str">
        <x:v>Paper equity is not available cash. Selling costs, capital-gains tax, depreciation recapture, loan discharge costs and actual future capital projects could materially reduce net proceeds. The projection is arithmetic, not a forecast.</x:v>
      </x:c>
      <x:c r="B28" s="200" t="str">
        <x:v>Paper equity is not available cash. Selling costs, capital-gains tax, depreciation recapture, loan discharge costs and actual future capital projects could materially reduce net proceeds. The projection is arithmetic, not a forecast.</x:v>
      </x:c>
      <x:c r="C28" s="200" t="str">
        <x:v>Paper equity is not available cash. Selling costs, capital-gains tax, depreciation recapture, loan discharge costs and actual future capital projects could materially reduce net proceeds. The projection is arithmetic, not a forecast.</x:v>
      </x:c>
      <x:c r="D28" s="200" t="str">
        <x:v>Paper equity is not available cash. Selling costs, capital-gains tax, depreciation recapture, loan discharge costs and actual future capital projects could materially reduce net proceeds. The projection is arithmetic, not a forecast.</x:v>
      </x:c>
      <x:c r="E28" s="200" t="str">
        <x:v>Paper equity is not available cash. Selling costs, capital-gains tax, depreciation recapture, loan discharge costs and actual future capital projects could materially reduce net proceeds. The projection is arithmetic, not a forecast.</x:v>
      </x:c>
      <x:c r="F28" s="200" t="str">
        <x:v>Paper equity is not available cash. Selling costs, capital-gains tax, depreciation recapture, loan discharge costs and actual future capital projects could materially reduce net proceeds. The projection is arithmetic, not a forecast.</x:v>
      </x:c>
      <x:c r="G28" s="200" t="str">
        <x:v>Paper equity is not available cash. Selling costs, capital-gains tax, depreciation recapture, loan discharge costs and actual future capital projects could materially reduce net proceeds. The projection is arithmetic, not a forecast.</x:v>
      </x:c>
    </x:row>
    <x:row r="29" ht="25" customHeight="1">
      <x:c r="A29" s="200" t="str">
        <x:v>Paper equity is not available cash. Selling costs, capital-gains tax, depreciation recapture, loan discharge costs and actual future capital projects could materially reduce net proceeds. The projection is arithmetic, not a forecast.</x:v>
      </x:c>
      <x:c r="B29" s="200" t="str">
        <x:v>Paper equity is not available cash. Selling costs, capital-gains tax, depreciation recapture, loan discharge costs and actual future capital projects could materially reduce net proceeds. The projection is arithmetic, not a forecast.</x:v>
      </x:c>
      <x:c r="C29" s="200" t="str">
        <x:v>Paper equity is not available cash. Selling costs, capital-gains tax, depreciation recapture, loan discharge costs and actual future capital projects could materially reduce net proceeds. The projection is arithmetic, not a forecast.</x:v>
      </x:c>
      <x:c r="D29" s="200" t="str">
        <x:v>Paper equity is not available cash. Selling costs, capital-gains tax, depreciation recapture, loan discharge costs and actual future capital projects could materially reduce net proceeds. The projection is arithmetic, not a forecast.</x:v>
      </x:c>
      <x:c r="E29" s="200" t="str">
        <x:v>Paper equity is not available cash. Selling costs, capital-gains tax, depreciation recapture, loan discharge costs and actual future capital projects could materially reduce net proceeds. The projection is arithmetic, not a forecast.</x:v>
      </x:c>
      <x:c r="F29" s="200" t="str">
        <x:v>Paper equity is not available cash. Selling costs, capital-gains tax, depreciation recapture, loan discharge costs and actual future capital projects could materially reduce net proceeds. The projection is arithmetic, not a forecast.</x:v>
      </x:c>
      <x:c r="G29" s="200" t="str">
        <x:v>Paper equity is not available cash. Selling costs, capital-gains tax, depreciation recapture, loan discharge costs and actual future capital projects could materially reduce net proceeds. The projection is arithmetic, not a forecast.</x:v>
      </x:c>
    </x:row>
    <x:row r="30" ht="25" customHeight="1">
      <x:c r="A30" s="200" t="str">
        <x:v>Paper equity is not available cash. Selling costs, capital-gains tax, depreciation recapture, loan discharge costs and actual future capital projects could materially reduce net proceeds. The projection is arithmetic, not a forecast.</x:v>
      </x:c>
      <x:c r="B30" s="200" t="str">
        <x:v>Paper equity is not available cash. Selling costs, capital-gains tax, depreciation recapture, loan discharge costs and actual future capital projects could materially reduce net proceeds. The projection is arithmetic, not a forecast.</x:v>
      </x:c>
      <x:c r="C30" s="200" t="str">
        <x:v>Paper equity is not available cash. Selling costs, capital-gains tax, depreciation recapture, loan discharge costs and actual future capital projects could materially reduce net proceeds. The projection is arithmetic, not a forecast.</x:v>
      </x:c>
      <x:c r="D30" s="200" t="str">
        <x:v>Paper equity is not available cash. Selling costs, capital-gains tax, depreciation recapture, loan discharge costs and actual future capital projects could materially reduce net proceeds. The projection is arithmetic, not a forecast.</x:v>
      </x:c>
      <x:c r="E30" s="200" t="str">
        <x:v>Paper equity is not available cash. Selling costs, capital-gains tax, depreciation recapture, loan discharge costs and actual future capital projects could materially reduce net proceeds. The projection is arithmetic, not a forecast.</x:v>
      </x:c>
      <x:c r="F30" s="200" t="str">
        <x:v>Paper equity is not available cash. Selling costs, capital-gains tax, depreciation recapture, loan discharge costs and actual future capital projects could materially reduce net proceeds. The projection is arithmetic, not a forecast.</x:v>
      </x:c>
      <x:c r="G30" s="200" t="str">
        <x:v>Paper equity is not available cash. Selling costs, capital-gains tax, depreciation recapture, loan discharge costs and actual future capital projects could materially reduce net proceeds. The projection is arithmetic, not a forecast.</x:v>
      </x:c>
    </x:row>
    <x:row r="31" ht="25" customHeight="1">
      <x:c r="A31" s="200" t="str">
        <x:v>Paper equity is not available cash. Selling costs, capital-gains tax, depreciation recapture, loan discharge costs and actual future capital projects could materially reduce net proceeds. The projection is arithmetic, not a forecast.</x:v>
      </x:c>
      <x:c r="B31" s="200" t="str">
        <x:v>Paper equity is not available cash. Selling costs, capital-gains tax, depreciation recapture, loan discharge costs and actual future capital projects could materially reduce net proceeds. The projection is arithmetic, not a forecast.</x:v>
      </x:c>
      <x:c r="C31" s="200" t="str">
        <x:v>Paper equity is not available cash. Selling costs, capital-gains tax, depreciation recapture, loan discharge costs and actual future capital projects could materially reduce net proceeds. The projection is arithmetic, not a forecast.</x:v>
      </x:c>
      <x:c r="D31" s="200" t="str">
        <x:v>Paper equity is not available cash. Selling costs, capital-gains tax, depreciation recapture, loan discharge costs and actual future capital projects could materially reduce net proceeds. The projection is arithmetic, not a forecast.</x:v>
      </x:c>
      <x:c r="E31" s="200" t="str">
        <x:v>Paper equity is not available cash. Selling costs, capital-gains tax, depreciation recapture, loan discharge costs and actual future capital projects could materially reduce net proceeds. The projection is arithmetic, not a forecast.</x:v>
      </x:c>
      <x:c r="F31" s="200" t="str">
        <x:v>Paper equity is not available cash. Selling costs, capital-gains tax, depreciation recapture, loan discharge costs and actual future capital projects could materially reduce net proceeds. The projection is arithmetic, not a forecast.</x:v>
      </x:c>
      <x:c r="G31" s="200" t="str">
        <x:v>Paper equity is not available cash. Selling costs, capital-gains tax, depreciation recapture, loan discharge costs and actual future capital projects could materially reduce net proceeds. The projection is arithmetic, not a forecast.</x:v>
      </x:c>
    </x:row>
    <x:row r="32" ht="25" customHeight="1">
      <x:c r="A32" s="6"/>
      <x:c r="B32" s="6"/>
      <x:c r="C32" s="6"/>
      <x:c r="D32" s="6"/>
      <x:c r="E32" s="6"/>
      <x:c r="F32" s="6"/>
      <x:c r="G32" s="6"/>
    </x:row>
    <x:row r="33" ht="25" customHeight="1">
      <x:c r="A33" s="6"/>
      <x:c r="B33" s="6"/>
      <x:c r="C33" s="6"/>
      <x:c r="D33" s="6"/>
      <x:c r="E33" s="6"/>
      <x:c r="F33" s="6"/>
      <x:c r="G33" s="6"/>
    </x:row>
    <x:row r="34" ht="25" customHeight="1">
      <x:c r="A34" s="6"/>
      <x:c r="B34" s="6"/>
      <x:c r="C34" s="6"/>
      <x:c r="D34" s="6"/>
      <x:c r="E34" s="6"/>
      <x:c r="F34" s="6"/>
      <x:c r="G34" s="6"/>
    </x:row>
    <x:row r="35" ht="25" customHeight="1">
      <x:c r="A35" s="6"/>
      <x:c r="B35" s="6"/>
      <x:c r="C35" s="6"/>
      <x:c r="D35" s="6"/>
      <x:c r="E35" s="6"/>
      <x:c r="F35" s="6"/>
      <x:c r="G35" s="6"/>
    </x:row>
    <x:row r="36" ht="25" customHeight="1">
      <x:c r="A36" s="6"/>
      <x:c r="B36" s="6"/>
      <x:c r="C36" s="6"/>
      <x:c r="D36" s="6"/>
      <x:c r="E36" s="6"/>
      <x:c r="F36" s="6"/>
      <x:c r="G36" s="6"/>
    </x:row>
    <x:row r="37" ht="25" customHeight="1">
      <x:c r="A37" s="6"/>
      <x:c r="B37" s="6"/>
      <x:c r="C37" s="6"/>
      <x:c r="D37" s="6"/>
      <x:c r="E37" s="6"/>
      <x:c r="F37" s="6"/>
      <x:c r="G37" s="6"/>
    </x:row>
    <x:row r="38" ht="25" customHeight="1">
      <x:c r="A38" s="6"/>
      <x:c r="B38" s="6"/>
      <x:c r="C38" s="6"/>
      <x:c r="D38" s="6"/>
      <x:c r="E38" s="6"/>
      <x:c r="F38" s="6"/>
      <x:c r="G38" s="6"/>
    </x:row>
    <x:row r="39" ht="25" customHeight="1">
      <x:c r="A39" s="6"/>
      <x:c r="B39" s="6"/>
      <x:c r="C39" s="6"/>
      <x:c r="D39" s="6"/>
      <x:c r="E39" s="6"/>
      <x:c r="F39" s="6"/>
      <x:c r="G39" s="6"/>
    </x:row>
    <x:row r="40" ht="25" customHeight="1">
      <x:c r="A40" s="6"/>
      <x:c r="B40" s="6"/>
      <x:c r="C40" s="6"/>
      <x:c r="D40" s="6"/>
      <x:c r="E40" s="6"/>
      <x:c r="F40" s="6"/>
      <x:c r="G40" s="6"/>
    </x:row>
    <x:row r="41" ht="25" customHeight="1">
      <x:c r="A41" s="6"/>
      <x:c r="B41" s="6"/>
      <x:c r="C41" s="6"/>
      <x:c r="D41" s="6"/>
      <x:c r="E41" s="6"/>
      <x:c r="F41" s="6"/>
      <x:c r="G41" s="6"/>
    </x:row>
    <x:row r="42" ht="25" customHeight="1">
      <x:c r="A42" s="6"/>
      <x:c r="B42" s="6"/>
      <x:c r="C42" s="6"/>
      <x:c r="D42" s="6"/>
      <x:c r="E42" s="6"/>
      <x:c r="F42" s="6"/>
      <x:c r="G42" s="6"/>
    </x:row>
    <x:row r="43" ht="25" customHeight="1">
      <x:c r="A43" s="6"/>
      <x:c r="B43" s="6"/>
      <x:c r="C43" s="6"/>
      <x:c r="D43" s="6"/>
      <x:c r="E43" s="6"/>
      <x:c r="F43" s="6"/>
      <x:c r="G43" s="6"/>
    </x:row>
    <x:row r="44" ht="25" customHeight="1">
      <x:c r="A44" s="6"/>
      <x:c r="B44" s="6"/>
      <x:c r="C44" s="6"/>
      <x:c r="D44" s="6"/>
      <x:c r="E44" s="6"/>
      <x:c r="F44" s="6"/>
      <x:c r="G44" s="6"/>
    </x:row>
    <x:row r="45" ht="25" customHeight="1">
      <x:c r="A45" s="6"/>
      <x:c r="B45" s="6"/>
      <x:c r="C45" s="6"/>
      <x:c r="D45" s="6"/>
      <x:c r="E45" s="6"/>
      <x:c r="F45" s="6"/>
      <x:c r="G45" s="6"/>
    </x:row>
    <x:row r="46" ht="25" customHeight="1">
      <x:c r="A46" s="6"/>
      <x:c r="B46" s="6"/>
      <x:c r="C46" s="6"/>
      <x:c r="D46" s="6"/>
      <x:c r="E46" s="6"/>
      <x:c r="F46" s="6"/>
      <x:c r="G46" s="6"/>
    </x:row>
    <x:row r="47" ht="25" customHeight="1">
      <x:c r="A47" s="6"/>
      <x:c r="B47" s="6"/>
      <x:c r="C47" s="6"/>
      <x:c r="D47" s="6"/>
      <x:c r="E47" s="6"/>
      <x:c r="F47" s="6"/>
      <x:c r="G47" s="6"/>
    </x:row>
    <x:row r="48" ht="25" customHeight="1">
      <x:c r="A48" s="6"/>
      <x:c r="B48" s="6"/>
      <x:c r="C48" s="6"/>
      <x:c r="D48" s="6"/>
      <x:c r="E48" s="6"/>
      <x:c r="F48" s="6"/>
      <x:c r="G48" s="6"/>
    </x:row>
    <x:row r="49" ht="25" customHeight="1">
      <x:c r="A49" s="6"/>
      <x:c r="B49" s="6"/>
      <x:c r="C49" s="6"/>
      <x:c r="D49" s="6"/>
      <x:c r="E49" s="6"/>
      <x:c r="F49" s="6"/>
      <x:c r="G49" s="6"/>
    </x:row>
    <x:row r="50" ht="25" customHeight="1">
      <x:c r="A50" s="6"/>
      <x:c r="B50" s="6"/>
      <x:c r="C50" s="6"/>
      <x:c r="D50" s="6"/>
      <x:c r="E50" s="6"/>
      <x:c r="F50" s="6"/>
      <x:c r="G50" s="6"/>
    </x:row>
    <x:row r="51" ht="25" customHeight="1">
      <x:c r="A51" s="6"/>
      <x:c r="B51" s="6"/>
      <x:c r="C51" s="6"/>
      <x:c r="D51" s="6"/>
      <x:c r="E51" s="6"/>
      <x:c r="F51" s="6"/>
      <x:c r="G51" s="6"/>
    </x:row>
    <x:row r="52" ht="25" customHeight="1">
      <x:c r="A52" s="6"/>
      <x:c r="B52" s="6"/>
      <x:c r="C52" s="6"/>
      <x:c r="D52" s="6"/>
      <x:c r="E52" s="6"/>
      <x:c r="F52" s="6"/>
      <x:c r="G52" s="6"/>
    </x:row>
    <x:row r="53" ht="25" customHeight="1">
      <x:c r="A53" s="6"/>
      <x:c r="B53" s="6"/>
      <x:c r="C53" s="6"/>
      <x:c r="D53" s="6"/>
      <x:c r="E53" s="6"/>
      <x:c r="F53" s="6"/>
      <x:c r="G53" s="6"/>
    </x:row>
    <x:row r="54" ht="25" customHeight="1">
      <x:c r="A54" s="6"/>
      <x:c r="B54" s="6"/>
      <x:c r="C54" s="6"/>
      <x:c r="D54" s="6"/>
      <x:c r="E54" s="6"/>
      <x:c r="F54" s="6"/>
      <x:c r="G54" s="6"/>
    </x:row>
    <x:row r="55" ht="25" customHeight="1">
      <x:c r="A55" s="6"/>
      <x:c r="B55" s="6"/>
      <x:c r="C55" s="6"/>
      <x:c r="D55" s="6"/>
      <x:c r="E55" s="6"/>
      <x:c r="F55" s="6"/>
      <x:c r="G55" s="6"/>
    </x:row>
    <x:row r="56" ht="25" customHeight="1">
      <x:c r="A56" s="6"/>
      <x:c r="B56" s="6"/>
      <x:c r="C56" s="6"/>
      <x:c r="D56" s="6"/>
      <x:c r="E56" s="6"/>
      <x:c r="F56" s="6"/>
      <x:c r="G56" s="6"/>
    </x:row>
    <x:row r="57" ht="25" customHeight="1">
      <x:c r="A57" s="6"/>
      <x:c r="B57" s="6"/>
      <x:c r="C57" s="6"/>
      <x:c r="D57" s="6"/>
      <x:c r="E57" s="6"/>
      <x:c r="F57" s="6"/>
      <x:c r="G57" s="6"/>
    </x:row>
    <x:row r="58" ht="25" customHeight="1">
      <x:c r="A58" s="6"/>
      <x:c r="B58" s="6"/>
      <x:c r="C58" s="6"/>
      <x:c r="D58" s="6"/>
      <x:c r="E58" s="6"/>
      <x:c r="F58" s="6"/>
      <x:c r="G58" s="6"/>
    </x:row>
    <x:row r="59" ht="25" customHeight="1">
      <x:c r="A59" s="6"/>
      <x:c r="B59" s="6"/>
      <x:c r="C59" s="6"/>
      <x:c r="D59" s="6"/>
      <x:c r="E59" s="6"/>
      <x:c r="F59" s="6"/>
      <x:c r="G59" s="6"/>
    </x:row>
    <x:row r="60" ht="25" customHeight="1">
      <x:c r="A60" s="6"/>
      <x:c r="B60" s="6"/>
      <x:c r="C60" s="6"/>
      <x:c r="D60" s="6"/>
      <x:c r="E60" s="6"/>
      <x:c r="F60" s="6"/>
      <x:c r="G60" s="6"/>
    </x:row>
    <x:row r="61" ht="25" customHeight="1">
      <x:c r="A61" s="6"/>
      <x:c r="B61" s="6"/>
      <x:c r="C61" s="6"/>
      <x:c r="D61" s="6"/>
      <x:c r="E61" s="6"/>
      <x:c r="F61" s="6"/>
      <x:c r="G61" s="6"/>
    </x:row>
    <x:row r="62" ht="25" customHeight="1">
      <x:c r="A62" s="6"/>
      <x:c r="B62" s="6"/>
      <x:c r="C62" s="6"/>
      <x:c r="D62" s="6"/>
      <x:c r="E62" s="6"/>
      <x:c r="F62" s="6"/>
      <x:c r="G62" s="6"/>
    </x:row>
    <x:row r="63" ht="25" customHeight="1">
      <x:c r="A63" s="6"/>
      <x:c r="B63" s="6"/>
      <x:c r="C63" s="6"/>
      <x:c r="D63" s="6"/>
      <x:c r="E63" s="6"/>
      <x:c r="F63" s="6"/>
      <x:c r="G63" s="6"/>
    </x:row>
    <x:row r="64" ht="25" customHeight="1">
      <x:c r="A64" s="6"/>
      <x:c r="B64" s="6"/>
      <x:c r="C64" s="6"/>
      <x:c r="D64" s="6"/>
      <x:c r="E64" s="6"/>
      <x:c r="F64" s="6"/>
      <x:c r="G64" s="6"/>
    </x:row>
    <x:row r="65" ht="25" customHeight="1">
      <x:c r="A65" s="6"/>
      <x:c r="B65" s="6"/>
      <x:c r="C65" s="6"/>
      <x:c r="D65" s="6"/>
      <x:c r="E65" s="6"/>
      <x:c r="F65" s="6"/>
      <x:c r="G65" s="6"/>
    </x:row>
    <x:row r="66" ht="25" customHeight="1">
      <x:c r="A66" s="6"/>
      <x:c r="B66" s="6"/>
      <x:c r="C66" s="6"/>
      <x:c r="D66" s="6"/>
      <x:c r="E66" s="6"/>
      <x:c r="F66" s="6"/>
      <x:c r="G66" s="6"/>
    </x:row>
    <x:row r="67" ht="25" customHeight="1">
      <x:c r="A67" s="6"/>
      <x:c r="B67" s="6"/>
      <x:c r="C67" s="6"/>
      <x:c r="D67" s="6"/>
      <x:c r="E67" s="6"/>
      <x:c r="F67" s="6"/>
      <x:c r="G67" s="6"/>
    </x:row>
    <x:row r="68" ht="25" customHeight="1">
      <x:c r="A68" s="6"/>
      <x:c r="B68" s="6"/>
      <x:c r="C68" s="6"/>
      <x:c r="D68" s="6"/>
      <x:c r="E68" s="6"/>
      <x:c r="F68" s="6"/>
      <x:c r="G68" s="6"/>
    </x:row>
    <x:row r="69" ht="25" customHeight="1">
      <x:c r="A69" s="6"/>
      <x:c r="B69" s="6"/>
      <x:c r="C69" s="6"/>
      <x:c r="D69" s="6"/>
      <x:c r="E69" s="6"/>
      <x:c r="F69" s="6"/>
      <x:c r="G69" s="6"/>
    </x:row>
    <x:row r="70" ht="25" customHeight="1">
      <x:c r="A70" s="6"/>
      <x:c r="B70" s="6"/>
      <x:c r="C70" s="6"/>
      <x:c r="D70" s="6"/>
      <x:c r="E70" s="6"/>
      <x:c r="F70" s="6"/>
      <x:c r="G70" s="6"/>
    </x:row>
    <x:row r="71" ht="25" customHeight="1">
      <x:c r="A71" s="6"/>
      <x:c r="B71" s="6"/>
      <x:c r="C71" s="6"/>
      <x:c r="D71" s="6"/>
      <x:c r="E71" s="6"/>
      <x:c r="F71" s="6"/>
      <x:c r="G71" s="6"/>
    </x:row>
    <x:row r="72" ht="25" customHeight="1">
      <x:c r="A72" s="6"/>
      <x:c r="B72" s="6"/>
      <x:c r="C72" s="6"/>
      <x:c r="D72" s="6"/>
      <x:c r="E72" s="6"/>
      <x:c r="F72" s="6"/>
      <x:c r="G72" s="6"/>
    </x:row>
    <x:row r="73" ht="25" customHeight="1">
      <x:c r="A73" s="6"/>
      <x:c r="B73" s="6"/>
      <x:c r="C73" s="6"/>
      <x:c r="D73" s="6"/>
      <x:c r="E73" s="6"/>
      <x:c r="F73" s="6"/>
      <x:c r="G73" s="6"/>
    </x:row>
    <x:row r="74" ht="25" customHeight="1">
      <x:c r="A74" s="6"/>
      <x:c r="B74" s="6"/>
      <x:c r="C74" s="6"/>
      <x:c r="D74" s="6"/>
      <x:c r="E74" s="6"/>
      <x:c r="F74" s="6"/>
      <x:c r="G74" s="6"/>
    </x:row>
    <x:row r="75" ht="25" customHeight="1">
      <x:c r="A75" s="6"/>
      <x:c r="B75" s="6"/>
      <x:c r="C75" s="6"/>
      <x:c r="D75" s="6"/>
      <x:c r="E75" s="6"/>
      <x:c r="F75" s="6"/>
      <x:c r="G75" s="6"/>
    </x:row>
    <x:row r="76" ht="25" customHeight="1">
      <x:c r="A76" s="6"/>
      <x:c r="B76" s="6"/>
      <x:c r="C76" s="6"/>
      <x:c r="D76" s="6"/>
      <x:c r="E76" s="6"/>
      <x:c r="F76" s="6"/>
      <x:c r="G76" s="6"/>
    </x:row>
    <x:row r="77" ht="25" customHeight="1">
      <x:c r="A77" s="6"/>
      <x:c r="B77" s="6"/>
      <x:c r="C77" s="6"/>
      <x:c r="D77" s="6"/>
      <x:c r="E77" s="6"/>
      <x:c r="F77" s="6"/>
      <x:c r="G77" s="6"/>
    </x:row>
    <x:row r="78" ht="25" customHeight="1">
      <x:c r="A78" s="6"/>
      <x:c r="B78" s="6"/>
      <x:c r="C78" s="6"/>
      <x:c r="D78" s="6"/>
      <x:c r="E78" s="6"/>
      <x:c r="F78" s="6"/>
      <x:c r="G78" s="6"/>
    </x:row>
    <x:row r="79" ht="25" customHeight="1">
      <x:c r="A79" s="6"/>
      <x:c r="B79" s="6"/>
      <x:c r="C79" s="6"/>
      <x:c r="D79" s="6"/>
      <x:c r="E79" s="6"/>
      <x:c r="F79" s="6"/>
      <x:c r="G79" s="6"/>
    </x:row>
    <x:row r="80" ht="25" customHeight="1">
      <x:c r="A80" s="6"/>
      <x:c r="B80" s="6"/>
      <x:c r="C80" s="6"/>
      <x:c r="D80" s="6"/>
      <x:c r="E80" s="6"/>
      <x:c r="F80" s="6"/>
      <x:c r="G80" s="6"/>
    </x:row>
  </x:sheetData>
  <x:mergeCells>
    <x:mergeCell ref="A1:G2"/>
    <x:mergeCell ref="A3:G5"/>
    <x:mergeCell ref="A28:G31"/>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36" hidden="0" customWidth="1"/>
    <x:col min="2" max="2" width="3" hidden="0" customWidth="1"/>
    <x:col min="3" max="3" width="19" hidden="0" customWidth="1"/>
    <x:col min="4" max="4" width="19" hidden="0" customWidth="1"/>
    <x:col min="5" max="5" width="19" hidden="0" customWidth="1"/>
    <x:col min="6" max="6" width="3" hidden="0" customWidth="1"/>
    <x:col min="7" max="7" width="42" hidden="0" customWidth="1"/>
  </x:cols>
  <x:sheetData>
    <x:row r="1" ht="28" customHeight="1">
      <x:c r="A1" s="202" t="str">
        <x:v>STRESS TEST | Three cases, both models</x:v>
      </x:c>
      <x:c r="B1" s="202" t="str">
        <x:v>STRESS TEST | Three cases, both models</x:v>
      </x:c>
      <x:c r="C1" s="202" t="str">
        <x:v>STRESS TEST | Three cases, both models</x:v>
      </x:c>
      <x:c r="D1" s="202" t="str">
        <x:v>STRESS TEST | Three cases, both models</x:v>
      </x:c>
      <x:c r="E1" s="202" t="str">
        <x:v>STRESS TEST | Three cases, both models</x:v>
      </x:c>
      <x:c r="F1" s="202" t="str">
        <x:v>STRESS TEST | Three cases, both models</x:v>
      </x:c>
      <x:c r="G1" s="202" t="str">
        <x:v>STRESS TEST | Three cases, both models</x:v>
      </x:c>
    </x:row>
    <x:row r="2" ht="24" customHeight="1">
      <x:c r="A2" s="202" t="str">
        <x:v>STRESS TEST | Three cases, both models</x:v>
      </x:c>
      <x:c r="B2" s="202" t="str">
        <x:v>STRESS TEST | Three cases, both models</x:v>
      </x:c>
      <x:c r="C2" s="202" t="str">
        <x:v>STRESS TEST | Three cases, both models</x:v>
      </x:c>
      <x:c r="D2" s="202" t="str">
        <x:v>STRESS TEST | Three cases, both models</x:v>
      </x:c>
      <x:c r="E2" s="202" t="str">
        <x:v>STRESS TEST | Three cases, both models</x:v>
      </x:c>
      <x:c r="F2" s="202" t="str">
        <x:v>STRESS TEST | Three cases, both models</x:v>
      </x:c>
      <x:c r="G2" s="202" t="str">
        <x:v>STRESS TEST | Three cases, both models</x:v>
      </x:c>
    </x:row>
    <x:row r="3" ht="25" customHeight="1">
      <x:c r="A3" s="203" t="str">
        <x:v>Conservative: ADR -15%, occupancy -10 percentage points, fixed and unit costs +10%. Aggressive: ADR +15% and occupancy +10 points; no cost cuts assumed. These are stress choices, not probability forecasts. Edit blue multipliers.</x:v>
      </x:c>
      <x:c r="B3" s="203" t="str">
        <x:v>Conservative: ADR -15%, occupancy -10 percentage points, fixed and unit costs +10%. Aggressive: ADR +15% and occupancy +10 points; no cost cuts assumed. These are stress choices, not probability forecasts. Edit blue multipliers.</x:v>
      </x:c>
      <x:c r="C3" s="203" t="str">
        <x:v>Conservative: ADR -15%, occupancy -10 percentage points, fixed and unit costs +10%. Aggressive: ADR +15% and occupancy +10 points; no cost cuts assumed. These are stress choices, not probability forecasts. Edit blue multipliers.</x:v>
      </x:c>
      <x:c r="D3" s="203" t="str">
        <x:v>Conservative: ADR -15%, occupancy -10 percentage points, fixed and unit costs +10%. Aggressive: ADR +15% and occupancy +10 points; no cost cuts assumed. These are stress choices, not probability forecasts. Edit blue multipliers.</x:v>
      </x:c>
      <x:c r="E3" s="203" t="str">
        <x:v>Conservative: ADR -15%, occupancy -10 percentage points, fixed and unit costs +10%. Aggressive: ADR +15% and occupancy +10 points; no cost cuts assumed. These are stress choices, not probability forecasts. Edit blue multipliers.</x:v>
      </x:c>
      <x:c r="F3" s="203" t="str">
        <x:v>Conservative: ADR -15%, occupancy -10 percentage points, fixed and unit costs +10%. Aggressive: ADR +15% and occupancy +10 points; no cost cuts assumed. These are stress choices, not probability forecasts. Edit blue multipliers.</x:v>
      </x:c>
      <x:c r="G3" s="203" t="str">
        <x:v>Conservative: ADR -15%, occupancy -10 percentage points, fixed and unit costs +10%. Aggressive: ADR +15% and occupancy +10 points; no cost cuts assumed. These are stress choices, not probability forecasts. Edit blue multipliers.</x:v>
      </x:c>
    </x:row>
    <x:row r="4" ht="25" customHeight="1">
      <x:c r="A4" s="203" t="str">
        <x:v>Conservative: ADR -15%, occupancy -10 percentage points, fixed and unit costs +10%. Aggressive: ADR +15% and occupancy +10 points; no cost cuts assumed. These are stress choices, not probability forecasts. Edit blue multipliers.</x:v>
      </x:c>
      <x:c r="B4" s="203" t="str">
        <x:v>Conservative: ADR -15%, occupancy -10 percentage points, fixed and unit costs +10%. Aggressive: ADR +15% and occupancy +10 points; no cost cuts assumed. These are stress choices, not probability forecasts. Edit blue multipliers.</x:v>
      </x:c>
      <x:c r="C4" s="203" t="str">
        <x:v>Conservative: ADR -15%, occupancy -10 percentage points, fixed and unit costs +10%. Aggressive: ADR +15% and occupancy +10 points; no cost cuts assumed. These are stress choices, not probability forecasts. Edit blue multipliers.</x:v>
      </x:c>
      <x:c r="D4" s="203" t="str">
        <x:v>Conservative: ADR -15%, occupancy -10 percentage points, fixed and unit costs +10%. Aggressive: ADR +15% and occupancy +10 points; no cost cuts assumed. These are stress choices, not probability forecasts. Edit blue multipliers.</x:v>
      </x:c>
      <x:c r="E4" s="203" t="str">
        <x:v>Conservative: ADR -15%, occupancy -10 percentage points, fixed and unit costs +10%. Aggressive: ADR +15% and occupancy +10 points; no cost cuts assumed. These are stress choices, not probability forecasts. Edit blue multipliers.</x:v>
      </x:c>
      <x:c r="F4" s="203" t="str">
        <x:v>Conservative: ADR -15%, occupancy -10 percentage points, fixed and unit costs +10%. Aggressive: ADR +15% and occupancy +10 points; no cost cuts assumed. These are stress choices, not probability forecasts. Edit blue multipliers.</x:v>
      </x:c>
      <x:c r="G4" s="203" t="str">
        <x:v>Conservative: ADR -15%, occupancy -10 percentage points, fixed and unit costs +10%. Aggressive: ADR +15% and occupancy +10 points; no cost cuts assumed. These are stress choices, not probability forecasts. Edit blue multipliers.</x:v>
      </x:c>
    </x:row>
    <x:row r="5" ht="25" customHeight="1">
      <x:c r="A5" s="200" t="str">
        <x:v>Conservative: ADR -15%, occupancy -10 percentage points, fixed and unit costs +10%. Aggressive: ADR +15% and occupancy +10 points; no cost cuts assumed. These are stress choices, not probability forecasts. Edit blue multipliers.</x:v>
      </x:c>
      <x:c r="B5" s="200" t="str">
        <x:v>Conservative: ADR -15%, occupancy -10 percentage points, fixed and unit costs +10%. Aggressive: ADR +15% and occupancy +10 points; no cost cuts assumed. These are stress choices, not probability forecasts. Edit blue multipliers.</x:v>
      </x:c>
      <x:c r="C5" s="200" t="str">
        <x:v>Conservative: ADR -15%, occupancy -10 percentage points, fixed and unit costs +10%. Aggressive: ADR +15% and occupancy +10 points; no cost cuts assumed. These are stress choices, not probability forecasts. Edit blue multipliers.</x:v>
      </x:c>
      <x:c r="D5" s="200" t="str">
        <x:v>Conservative: ADR -15%, occupancy -10 percentage points, fixed and unit costs +10%. Aggressive: ADR +15% and occupancy +10 points; no cost cuts assumed. These are stress choices, not probability forecasts. Edit blue multipliers.</x:v>
      </x:c>
      <x:c r="E5" s="200" t="str">
        <x:v>Conservative: ADR -15%, occupancy -10 percentage points, fixed and unit costs +10%. Aggressive: ADR +15% and occupancy +10 points; no cost cuts assumed. These are stress choices, not probability forecasts. Edit blue multipliers.</x:v>
      </x:c>
      <x:c r="F5" s="200" t="str">
        <x:v>Conservative: ADR -15%, occupancy -10 percentage points, fixed and unit costs +10%. Aggressive: ADR +15% and occupancy +10 points; no cost cuts assumed. These are stress choices, not probability forecasts. Edit blue multipliers.</x:v>
      </x:c>
      <x:c r="G5" s="200" t="str">
        <x:v>Conservative: ADR -15%, occupancy -10 percentage points, fixed and unit costs +10%. Aggressive: ADR +15% and occupancy +10 points; no cost cuts assumed. These are stress choices, not probability forecasts. Edit blue multipliers.</x:v>
      </x:c>
    </x:row>
    <x:row r="6" ht="25" customHeight="1">
      <x:c r="A6" s="317"/>
      <x:c r="B6" s="317"/>
      <x:c r="C6" s="317"/>
      <x:c r="D6" s="317"/>
      <x:c r="E6" s="317"/>
      <x:c r="F6" s="317"/>
      <x:c r="G6" s="317"/>
    </x:row>
    <x:row r="7" ht="25" customHeight="1">
      <x:c r="A7" s="200"/>
      <x:c r="B7" s="200"/>
      <x:c r="C7" s="200"/>
      <x:c r="D7" s="200"/>
      <x:c r="E7" s="200"/>
      <x:c r="F7" s="200"/>
      <x:c r="G7" s="200"/>
    </x:row>
    <x:row r="8" ht="25" customHeight="1">
      <x:c r="A8" s="200"/>
      <x:c r="B8" s="200"/>
      <x:c r="C8" s="200"/>
      <x:c r="D8" s="200"/>
      <x:c r="E8" s="200"/>
      <x:c r="F8" s="200"/>
      <x:c r="G8" s="200"/>
    </x:row>
    <x:row r="9" ht="25" customHeight="1">
      <x:c r="A9" s="200"/>
      <x:c r="B9" s="200"/>
      <x:c r="C9" s="200"/>
      <x:c r="D9" s="200"/>
      <x:c r="E9" s="200"/>
      <x:c r="F9" s="200"/>
      <x:c r="G9" s="200"/>
    </x:row>
    <x:row r="10" ht="25" customHeight="1">
      <x:c r="A10" s="200"/>
      <x:c r="B10" s="200"/>
      <x:c r="C10" s="200"/>
      <x:c r="D10" s="200"/>
      <x:c r="E10" s="200"/>
      <x:c r="F10" s="200"/>
      <x:c r="G10" s="200"/>
    </x:row>
    <x:row r="11" ht="25" customHeight="1">
      <x:c r="A11" s="199" t="str">
        <x:v>ARBITRAGE CALCULATOR</x:v>
      </x:c>
      <x:c r="B11" s="199" t="str">
        <x:v>ARBITRAGE CALCULATOR</x:v>
      </x:c>
      <x:c r="C11" s="199" t="str">
        <x:v>ARBITRAGE CALCULATOR</x:v>
      </x:c>
      <x:c r="D11" s="199" t="str">
        <x:v>ARBITRAGE CALCULATOR</x:v>
      </x:c>
      <x:c r="E11" s="199" t="str">
        <x:v>ARBITRAGE CALCULATOR</x:v>
      </x:c>
      <x:c r="F11" s="199" t="str">
        <x:v>ARBITRAGE CALCULATOR</x:v>
      </x:c>
      <x:c r="G11" s="199" t="str">
        <x:v>ARBITRAGE CALCULATOR</x:v>
      </x:c>
    </x:row>
    <x:row r="12" ht="25" customHeight="1">
      <x:c r="A12" s="199" t="str">
        <x:v>Assumption / metric</x:v>
      </x:c>
      <x:c r="B12" s="199" t="str"/>
      <x:c r="C12" s="199" t="str">
        <x:v>Conservative</x:v>
      </x:c>
      <x:c r="D12" s="199" t="str">
        <x:v>Base</x:v>
      </x:c>
      <x:c r="E12" s="199" t="str">
        <x:v>Aggressive</x:v>
      </x:c>
      <x:c r="F12" s="200"/>
      <x:c r="G12" s="200"/>
    </x:row>
    <x:row r="13" ht="25" customHeight="1">
      <x:c r="A13" s="200" t="str">
        <x:v>ADR multiplier</x:v>
      </x:c>
      <x:c r="B13" s="200"/>
      <x:c r="C13" s="228" t="n">
        <x:v>0.85</x:v>
      </x:c>
      <x:c r="D13" s="228" t="n">
        <x:v>1</x:v>
      </x:c>
      <x:c r="E13" s="228" t="n">
        <x:v>1.15</x:v>
      </x:c>
      <x:c r="F13" s="200"/>
      <x:c r="G13" s="200"/>
    </x:row>
    <x:row r="14" ht="25" customHeight="1">
      <x:c r="A14" s="200" t="str">
        <x:v>Occupancy shift (points)</x:v>
      </x:c>
      <x:c r="B14" s="200"/>
      <x:c r="C14" s="224" t="n">
        <x:v>-0.1</x:v>
      </x:c>
      <x:c r="D14" s="224" t="n">
        <x:v>0</x:v>
      </x:c>
      <x:c r="E14" s="224" t="n">
        <x:v>0.1</x:v>
      </x:c>
      <x:c r="F14" s="200"/>
      <x:c r="G14" s="200"/>
    </x:row>
    <x:row r="15" ht="25" customHeight="1">
      <x:c r="A15" s="200" t="str">
        <x:v>Fixed-cost multiplier</x:v>
      </x:c>
      <x:c r="B15" s="200"/>
      <x:c r="C15" s="228" t="n">
        <x:v>1.1</x:v>
      </x:c>
      <x:c r="D15" s="228" t="n">
        <x:v>1</x:v>
      </x:c>
      <x:c r="E15" s="228" t="n">
        <x:v>1</x:v>
      </x:c>
      <x:c r="F15" s="200"/>
      <x:c r="G15" s="200"/>
    </x:row>
    <x:row r="16" ht="25" customHeight="1">
      <x:c r="A16" s="200" t="str">
        <x:v>Unit-cost multiplier</x:v>
      </x:c>
      <x:c r="B16" s="200"/>
      <x:c r="C16" s="228" t="n">
        <x:v>1.1</x:v>
      </x:c>
      <x:c r="D16" s="228" t="n">
        <x:v>1</x:v>
      </x:c>
      <x:c r="E16" s="228" t="n">
        <x:v>1</x:v>
      </x:c>
      <x:c r="F16" s="200"/>
      <x:c r="G16" s="200"/>
    </x:row>
    <x:row r="17" ht="25" customHeight="1">
      <x:c r="A17" s="200" t="str"/>
      <x:c r="B17" s="200"/>
      <x:c r="C17" s="200"/>
      <x:c r="D17" s="200"/>
      <x:c r="E17" s="200"/>
      <x:c r="F17" s="200"/>
      <x:c r="G17" s="200"/>
    </x:row>
    <x:row r="18" ht="25" customHeight="1">
      <x:c r="A18" s="200" t="str">
        <x:v>Effective ADR</x:v>
      </x:c>
      <x:c r="B18" s="200"/>
      <x:c r="C18" s="225" t="n">
        <x:f>'Arbitrage Calculator'!$F$14*C13</x:f>
        <x:v>233.75000000000003</x:v>
      </x:c>
      <x:c r="D18" s="225" t="n">
        <x:f>'Arbitrage Calculator'!$F$14*D13</x:f>
        <x:v>275.00000000000006</x:v>
      </x:c>
      <x:c r="E18" s="225" t="n">
        <x:f>'Arbitrage Calculator'!$F$14*E13</x:f>
        <x:v>316.25000000000006</x:v>
      </x:c>
      <x:c r="F18" s="200"/>
      <x:c r="G18" s="200"/>
    </x:row>
    <x:row r="19" ht="25" customHeight="1">
      <x:c r="A19" s="200" t="str">
        <x:v>Occupancy</x:v>
      </x:c>
      <x:c r="B19" s="200"/>
      <x:c r="C19" s="224" t="n">
        <x:f>MAX(0,MIN(1,'Arbitrage Calculator'!$F$13+C14))</x:f>
        <x:v>0.45000000000000007</x:v>
      </x:c>
      <x:c r="D19" s="224" t="n">
        <x:f>MAX(0,MIN(1,'Arbitrage Calculator'!$F$13+D14))</x:f>
        <x:v>0.55</x:v>
      </x:c>
      <x:c r="E19" s="224" t="n">
        <x:f>MAX(0,MIN(1,'Arbitrage Calculator'!$F$13+E14))</x:f>
        <x:v>0.65</x:v>
      </x:c>
      <x:c r="F19" s="200"/>
      <x:c r="G19" s="200"/>
    </x:row>
    <x:row r="20" ht="25" customHeight="1">
      <x:c r="A20" s="200" t="str">
        <x:v>Available nights</x:v>
      </x:c>
      <x:c r="B20" s="200"/>
      <x:c r="C20" s="226" t="n">
        <x:f>'Arbitrage Calculator'!$F$15</x:f>
        <x:v>360</x:v>
      </x:c>
      <x:c r="D20" s="226" t="n">
        <x:f>'Arbitrage Calculator'!$F$15</x:f>
        <x:v>360</x:v>
      </x:c>
      <x:c r="E20" s="226" t="n">
        <x:f>'Arbitrage Calculator'!$F$15</x:f>
        <x:v>360</x:v>
      </x:c>
      <x:c r="F20" s="200"/>
      <x:c r="G20" s="200"/>
    </x:row>
    <x:row r="21" ht="25" customHeight="1">
      <x:c r="A21" s="200" t="str">
        <x:v>Booked nights</x:v>
      </x:c>
      <x:c r="B21" s="200"/>
      <x:c r="C21" s="226" t="n">
        <x:f>C19*C20</x:f>
        <x:v>162.00000000000003</x:v>
      </x:c>
      <x:c r="D21" s="226" t="n">
        <x:f>D19*D20</x:f>
        <x:v>198.00000000000003</x:v>
      </x:c>
      <x:c r="E21" s="226" t="n">
        <x:f>E19*E20</x:f>
        <x:v>234</x:v>
      </x:c>
      <x:c r="F21" s="200"/>
      <x:c r="G21" s="200"/>
    </x:row>
    <x:row r="22" ht="25" customHeight="1">
      <x:c r="A22" s="200" t="str">
        <x:v>Expected stays</x:v>
      </x:c>
      <x:c r="B22" s="200"/>
      <x:c r="C22" s="226" t="n">
        <x:f>IF('Arbitrage Calculator'!$B$23&gt;0,C21/'Arbitrage Calculator'!$B$23,0)</x:f>
        <x:v>54.00000000000001</x:v>
      </x:c>
      <x:c r="D22" s="226" t="n">
        <x:f>IF('Arbitrage Calculator'!$B$23&gt;0,D21/'Arbitrage Calculator'!$B$23,0)</x:f>
        <x:v>66.00000000000001</x:v>
      </x:c>
      <x:c r="E22" s="226" t="n">
        <x:f>IF('Arbitrage Calculator'!$B$23&gt;0,E21/'Arbitrage Calculator'!$B$23,0)</x:f>
        <x:v>78</x:v>
      </x:c>
      <x:c r="F22" s="200"/>
      <x:c r="G22" s="200"/>
    </x:row>
    <x:row r="23" ht="25" customHeight="1">
      <x:c r="A23" s="200" t="str">
        <x:v>Room revenue</x:v>
      </x:c>
      <x:c r="B23" s="200"/>
      <x:c r="C23" s="225" t="n">
        <x:f>C21*C18</x:f>
        <x:v>37867.500000000015</x:v>
      </x:c>
      <x:c r="D23" s="225" t="n">
        <x:f>D21*D18</x:f>
        <x:v>54450.00000000002</x:v>
      </x:c>
      <x:c r="E23" s="225" t="n">
        <x:f>E21*E18</x:f>
        <x:v>74002.50000000001</x:v>
      </x:c>
      <x:c r="F23" s="200"/>
      <x:c r="G23" s="200"/>
    </x:row>
    <x:row r="24" ht="25" customHeight="1">
      <x:c r="A24" s="200" t="str">
        <x:v>Guest fee revenue</x:v>
      </x:c>
      <x:c r="B24" s="200"/>
      <x:c r="C24" s="225" t="n">
        <x:f>C22*('Arbitrage Calculator'!$B$24+'Arbitrage Calculator'!$B$25)</x:f>
        <x:v>8100.000000000001</x:v>
      </x:c>
      <x:c r="D24" s="225" t="n">
        <x:f>D22*('Arbitrage Calculator'!$B$24+'Arbitrage Calculator'!$B$25)</x:f>
        <x:v>9900.000000000002</x:v>
      </x:c>
      <x:c r="E24" s="225" t="n">
        <x:f>E22*('Arbitrage Calculator'!$B$24+'Arbitrage Calculator'!$B$25)</x:f>
        <x:v>11700</x:v>
      </x:c>
      <x:c r="F24" s="200"/>
      <x:c r="G24" s="200"/>
    </x:row>
    <x:row r="25" ht="25" customHeight="1">
      <x:c r="A25" s="200" t="str">
        <x:v>Gross booking revenue</x:v>
      </x:c>
      <x:c r="B25" s="200"/>
      <x:c r="C25" s="225" t="n">
        <x:f>SUM(C23:C24)</x:f>
        <x:v>45967.500000000015</x:v>
      </x:c>
      <x:c r="D25" s="225" t="n">
        <x:f>SUM(D23:D24)</x:f>
        <x:v>64350.00000000002</x:v>
      </x:c>
      <x:c r="E25" s="225" t="n">
        <x:f>SUM(E23:E24)</x:f>
        <x:v>85702.50000000001</x:v>
      </x:c>
      <x:c r="F25" s="200"/>
      <x:c r="G25" s="200"/>
    </x:row>
    <x:row r="26" ht="25" customHeight="1">
      <x:c r="A26" s="200" t="str">
        <x:v>Platform fees</x:v>
      </x:c>
      <x:c r="B26" s="200"/>
      <x:c r="C26" s="225" t="n">
        <x:f>C25*'Arbitrage Calculator'!$B$26</x:f>
        <x:v>7124.962500000002</x:v>
      </x:c>
      <x:c r="D26" s="225" t="n">
        <x:f>D25*'Arbitrage Calculator'!$B$26</x:f>
        <x:v>9974.250000000004</x:v>
      </x:c>
      <x:c r="E26" s="225" t="n">
        <x:f>E25*'Arbitrage Calculator'!$B$26</x:f>
        <x:v>13283.887500000003</x:v>
      </x:c>
      <x:c r="F26" s="200"/>
      <x:c r="G26" s="200"/>
    </x:row>
    <x:row r="27" ht="25" customHeight="1">
      <x:c r="A27" s="200" t="str">
        <x:v>Management fees</x:v>
      </x:c>
      <x:c r="B27" s="200"/>
      <x:c r="C27" s="225" t="n">
        <x:f>IF('Arbitrage Calculator'!$B$28="Gross booking",C25,C23)*'Arbitrage Calculator'!$B$27</x:f>
        <x:v>3786.750000000002</x:v>
      </x:c>
      <x:c r="D27" s="225" t="n">
        <x:f>IF('Arbitrage Calculator'!$B$28="Gross booking",D25,D23)*'Arbitrage Calculator'!$B$27</x:f>
        <x:v>5445.000000000003</x:v>
      </x:c>
      <x:c r="E27" s="225" t="n">
        <x:f>IF('Arbitrage Calculator'!$B$28="Gross booking",E25,E23)*'Arbitrage Calculator'!$B$27</x:f>
        <x:v>7400.250000000002</x:v>
      </x:c>
      <x:c r="F27" s="200"/>
      <x:c r="G27" s="200"/>
    </x:row>
    <x:row r="28" ht="25" customHeight="1">
      <x:c r="A28" s="200" t="str">
        <x:v>Turnover + consumables</x:v>
      </x:c>
      <x:c r="B28" s="200"/>
      <x:c r="C28" s="225" t="n">
        <x:f>(C22*'Arbitrage Calculator'!$B$59+C21*'Arbitrage Calculator'!$B$60)*C16</x:f>
        <x:v>9622.800000000003</x:v>
      </x:c>
      <x:c r="D28" s="225" t="n">
        <x:f>(D22*'Arbitrage Calculator'!$B$59+D21*'Arbitrage Calculator'!$B$60)*D16</x:f>
        <x:v>10692.000000000002</x:v>
      </x:c>
      <x:c r="E28" s="225" t="n">
        <x:f>(E22*'Arbitrage Calculator'!$B$59+E21*'Arbitrage Calculator'!$B$60)*E16</x:f>
        <x:v>12636</x:v>
      </x:c>
      <x:c r="F28" s="200"/>
      <x:c r="G28" s="200"/>
    </x:row>
    <x:row r="29" ht="25" customHeight="1">
      <x:c r="A29" s="200" t="str">
        <x:v>Repairs + capital reserve</x:v>
      </x:c>
      <x:c r="B29" s="200"/>
      <x:c r="C29" s="225" t="n">
        <x:f>C23*('Arbitrage Calculator'!$B$61+'Arbitrage Calculator'!$B$62)</x:f>
        <x:v>1893.375000000001</x:v>
      </x:c>
      <x:c r="D29" s="225" t="n">
        <x:f>D23*('Arbitrage Calculator'!$B$61+'Arbitrage Calculator'!$B$62)</x:f>
        <x:v>2722.5000000000014</x:v>
      </x:c>
      <x:c r="E29" s="225" t="n">
        <x:f>E23*('Arbitrage Calculator'!$B$61+'Arbitrage Calculator'!$B$62)</x:f>
        <x:v>3700.125000000001</x:v>
      </x:c>
      <x:c r="F29" s="200"/>
      <x:c r="G29" s="200"/>
    </x:row>
    <x:row r="30" ht="25" customHeight="1">
      <x:c r="A30" s="200" t="str">
        <x:v>Host-absorbed tax</x:v>
      </x:c>
      <x:c r="B30" s="200"/>
      <x:c r="C30" s="225" t="n">
        <x:f>C25*'Arbitrage Calculator'!$B$63</x:f>
        <x:v>0</x:v>
      </x:c>
      <x:c r="D30" s="225" t="n">
        <x:f>D25*'Arbitrage Calculator'!$B$63</x:f>
        <x:v>0</x:v>
      </x:c>
      <x:c r="E30" s="225" t="n">
        <x:f>E25*'Arbitrage Calculator'!$B$63</x:f>
        <x:v>0</x:v>
      </x:c>
      <x:c r="F30" s="200"/>
      <x:c r="G30" s="200"/>
    </x:row>
    <x:row r="31" ht="25" customHeight="1">
      <x:c r="A31" s="200" t="str">
        <x:v>Fixed operating costs</x:v>
      </x:c>
      <x:c r="B31" s="200"/>
      <x:c r="C31" s="225" t="n">
        <x:f>'Arbitrage Calculator'!$F$30*C15</x:f>
        <x:v>42504</x:v>
      </x:c>
      <x:c r="D31" s="225" t="n">
        <x:f>'Arbitrage Calculator'!$F$30*D15</x:f>
        <x:v>38640</x:v>
      </x:c>
      <x:c r="E31" s="225" t="n">
        <x:f>'Arbitrage Calculator'!$F$30*E15</x:f>
        <x:v>38640</x:v>
      </x:c>
      <x:c r="F31" s="200"/>
      <x:c r="G31" s="200"/>
    </x:row>
    <x:row r="32" ht="25" customHeight="1">
      <x:c r="A32" s="200" t="str">
        <x:v>Debt service</x:v>
      </x:c>
      <x:c r="B32" s="200"/>
      <x:c r="C32" s="225" t="n">
        <x:f>0</x:f>
        <x:v>0</x:v>
      </x:c>
      <x:c r="D32" s="225" t="n">
        <x:f>0</x:f>
        <x:v>0</x:v>
      </x:c>
      <x:c r="E32" s="225" t="n">
        <x:f>0</x:f>
        <x:v>0</x:v>
      </x:c>
      <x:c r="F32" s="200"/>
      <x:c r="G32" s="200"/>
    </x:row>
    <x:row r="33" ht="25" customHeight="1">
      <x:c r="A33" s="199" t="str">
        <x:v>ANNUAL CASH FLOW</x:v>
      </x:c>
      <x:c r="B33" s="199"/>
      <x:c r="C33" s="221" t="n">
        <x:f>C25-SUM(C26:C32)</x:f>
        <x:v>-18964.387499999997</x:v>
      </x:c>
      <x:c r="D33" s="221" t="n">
        <x:f>D25-SUM(D26:D32)</x:f>
        <x:v>-3123.749999999978</x:v>
      </x:c>
      <x:c r="E33" s="221" t="n">
        <x:f>E25-SUM(E26:E32)</x:f>
        <x:v>10042.237500000003</x:v>
      </x:c>
      <x:c r="F33" s="200"/>
      <x:c r="G33" s="200" t="str">
        <x:v>Use the conservative case to decide how much cash you can afford to risk, not the aggressive case to justify the price.</x:v>
      </x:c>
    </x:row>
    <x:row r="34" ht="25" customHeight="1">
      <x:c r="A34" s="199" t="str">
        <x:v>Monthly cash flow</x:v>
      </x:c>
      <x:c r="B34" s="199"/>
      <x:c r="C34" s="221" t="n">
        <x:f>C33/12</x:f>
        <x:v>-1580.3656249999997</x:v>
      </x:c>
      <x:c r="D34" s="221" t="n">
        <x:f>D33/12</x:f>
        <x:v>-260.3124999999982</x:v>
      </x:c>
      <x:c r="E34" s="221" t="n">
        <x:f>E33/12</x:f>
        <x:v>836.8531250000002</x:v>
      </x:c>
      <x:c r="F34" s="200"/>
      <x:c r="G34" s="200"/>
    </x:row>
    <x:row r="35" ht="25" customHeight="1">
      <x:c r="A35" s="199" t="str">
        <x:v>Cash-on-cash</x:v>
      </x:c>
      <x:c r="B35" s="199"/>
      <x:c r="C35" s="222" t="n">
        <x:f>IF('Arbitrage Calculator'!$F$34&gt;0,C33/'Arbitrage Calculator'!$F$34,"N/M")</x:f>
        <x:v>-0.6115571589809737</x:v>
      </x:c>
      <x:c r="D35" s="222" t="n">
        <x:f>IF('Arbitrage Calculator'!$F$34&gt;0,D33/'Arbitrage Calculator'!$F$34,"N/M")</x:f>
        <x:v>-0.10073363431151171</x:v>
      </x:c>
      <x:c r="E35" s="222" t="n">
        <x:f>IF('Arbitrage Calculator'!$F$34&gt;0,E33/'Arbitrage Calculator'!$F$34,"N/M")</x:f>
        <x:v>0.32383868107062247</x:v>
      </x:c>
      <x:c r="F35" s="200"/>
      <x:c r="G35" s="200"/>
    </x:row>
    <x:row r="36" ht="25" customHeight="1">
      <x:c r="A36" s="199" t="str">
        <x:v>Break-even occupancy</x:v>
      </x:c>
      <x:c r="B36" s="199"/>
      <x:c r="C36" s="222" t="n">
        <x:f>IF(AND(C20&gt;0,(C18*(1-'Arbitrage Calculator'!$B$26-'Arbitrage Calculator'!$B$27-'Arbitrage Calculator'!$B$61-'Arbitrage Calculator'!$B$62-'Arbitrage Calculator'!$B$63)+IF('Arbitrage Calculator'!$B$23&gt;0,('Arbitrage Calculator'!$B$24+'Arbitrage Calculator'!$B$25)/'Arbitrage Calculator'!$B$23*(1-'Arbitrage Calculator'!$B$26-IF('Arbitrage Calculator'!$B$28="Gross booking",'Arbitrage Calculator'!$B$27,0)-'Arbitrage Calculator'!$B$63)-('Arbitrage Calculator'!$B$59/'Arbitrage Calculator'!$B$23+'Arbitrage Calculator'!$B$60)*C16,0))&gt;0),(C31+C32)/(C20*(C18*(1-'Arbitrage Calculator'!$B$26-'Arbitrage Calculator'!$B$27-'Arbitrage Calculator'!$B$61-'Arbitrage Calculator'!$B$62-'Arbitrage Calculator'!$B$63)+IF('Arbitrage Calculator'!$B$23&gt;0,('Arbitrage Calculator'!$B$24+'Arbitrage Calculator'!$B$25)/'Arbitrage Calculator'!$B$23*(1-'Arbitrage Calculator'!$B$26-IF('Arbitrage Calculator'!$B$28="Gross booking",'Arbitrage Calculator'!$B$27,0)-'Arbitrage Calculator'!$B$63)-('Arbitrage Calculator'!$B$59/'Arbitrage Calculator'!$B$23+'Arbitrage Calculator'!$B$60)*C16,0))),"N/M")</x:f>
        <x:v>0.8125367399314666</x:v>
      </x:c>
      <x:c r="D36" s="222" t="n">
        <x:f>IF(AND(D20&gt;0,(D18*(1-'Arbitrage Calculator'!$B$26-'Arbitrage Calculator'!$B$27-'Arbitrage Calculator'!$B$61-'Arbitrage Calculator'!$B$62-'Arbitrage Calculator'!$B$63)+IF('Arbitrage Calculator'!$B$23&gt;0,('Arbitrage Calculator'!$B$24+'Arbitrage Calculator'!$B$25)/'Arbitrage Calculator'!$B$23*(1-'Arbitrage Calculator'!$B$26-IF('Arbitrage Calculator'!$B$28="Gross booking",'Arbitrage Calculator'!$B$27,0)-'Arbitrage Calculator'!$B$63)-('Arbitrage Calculator'!$B$59/'Arbitrage Calculator'!$B$23+'Arbitrage Calculator'!$B$60)*D16,0))&gt;0),(D31+D32)/(D20*(D18*(1-'Arbitrage Calculator'!$B$26-'Arbitrage Calculator'!$B$27-'Arbitrage Calculator'!$B$61-'Arbitrage Calculator'!$B$62-'Arbitrage Calculator'!$B$63)+IF('Arbitrage Calculator'!$B$23&gt;0,('Arbitrage Calculator'!$B$24+'Arbitrage Calculator'!$B$25)/'Arbitrage Calculator'!$B$23*(1-'Arbitrage Calculator'!$B$26-IF('Arbitrage Calculator'!$B$28="Gross booking",'Arbitrage Calculator'!$B$27,0)-'Arbitrage Calculator'!$B$63)-('Arbitrage Calculator'!$B$59/'Arbitrage Calculator'!$B$23+'Arbitrage Calculator'!$B$60)*D16,0))),"N/M")</x:f>
        <x:v>0.5983739837398373</x:v>
      </x:c>
      <x:c r="E36" s="222" t="n">
        <x:f>IF(AND(E20&gt;0,(E18*(1-'Arbitrage Calculator'!$B$26-'Arbitrage Calculator'!$B$27-'Arbitrage Calculator'!$B$61-'Arbitrage Calculator'!$B$62-'Arbitrage Calculator'!$B$63)+IF('Arbitrage Calculator'!$B$23&gt;0,('Arbitrage Calculator'!$B$24+'Arbitrage Calculator'!$B$25)/'Arbitrage Calculator'!$B$23*(1-'Arbitrage Calculator'!$B$26-IF('Arbitrage Calculator'!$B$28="Gross booking",'Arbitrage Calculator'!$B$27,0)-'Arbitrage Calculator'!$B$63)-('Arbitrage Calculator'!$B$59/'Arbitrage Calculator'!$B$23+'Arbitrage Calculator'!$B$60)*E16,0))&gt;0),(E31+E32)/(E20*(E18*(1-'Arbitrage Calculator'!$B$26-'Arbitrage Calculator'!$B$27-'Arbitrage Calculator'!$B$61-'Arbitrage Calculator'!$B$62-'Arbitrage Calculator'!$B$63)+IF('Arbitrage Calculator'!$B$23&gt;0,('Arbitrage Calculator'!$B$24+'Arbitrage Calculator'!$B$25)/'Arbitrage Calculator'!$B$23*(1-'Arbitrage Calculator'!$B$26-IF('Arbitrage Calculator'!$B$28="Gross booking",'Arbitrage Calculator'!$B$27,0)-'Arbitrage Calculator'!$B$63)-('Arbitrage Calculator'!$B$59/'Arbitrage Calculator'!$B$23+'Arbitrage Calculator'!$B$60)*E16,0))),"N/M")</x:f>
        <x:v>0.5159171248034768</x:v>
      </x:c>
      <x:c r="F36" s="200"/>
      <x:c r="G36" s="200"/>
    </x:row>
    <x:row r="37" ht="25" customHeight="1">
      <x:c r="A37" s="200" t="str">
        <x:v>Cash profit margin</x:v>
      </x:c>
      <x:c r="B37" s="200"/>
      <x:c r="C37" s="224" t="n">
        <x:f>IF(C25&gt;0,C33/C25,"N/M")</x:f>
        <x:v>-0.4125607766356663</x:v>
      </x:c>
      <x:c r="D37" s="224" t="n">
        <x:f>IF(D25&gt;0,D33/D25,"N/M")</x:f>
        <x:v>-0.048543123543123186</x:v>
      </x:c>
      <x:c r="E37" s="224" t="n">
        <x:f>IF(E25&gt;0,E33/E25,"N/M")</x:f>
        <x:v>0.11717554913800649</x:v>
      </x:c>
      <x:c r="F37" s="200"/>
      <x:c r="G37" s="200"/>
    </x:row>
    <x:row r="38" ht="25" customHeight="1">
      <x:c r="A38" s="200"/>
      <x:c r="B38" s="200"/>
      <x:c r="C38" s="200"/>
      <x:c r="D38" s="200"/>
      <x:c r="E38" s="200"/>
      <x:c r="F38" s="200"/>
      <x:c r="G38" s="200"/>
    </x:row>
    <x:row r="39" ht="25" customHeight="1">
      <x:c r="A39" s="200"/>
      <x:c r="B39" s="200"/>
      <x:c r="C39" s="200"/>
      <x:c r="D39" s="200"/>
      <x:c r="E39" s="200"/>
      <x:c r="F39" s="200"/>
      <x:c r="G39" s="200"/>
    </x:row>
    <x:row r="40" ht="25" customHeight="1">
      <x:c r="A40" s="200"/>
      <x:c r="B40" s="200"/>
      <x:c r="C40" s="200"/>
      <x:c r="D40" s="200"/>
      <x:c r="E40" s="200"/>
      <x:c r="F40" s="200"/>
      <x:c r="G40" s="200"/>
    </x:row>
    <x:row r="41" ht="25" customHeight="1">
      <x:c r="A41" s="199" t="str">
        <x:v>PROPERTY OWNERSHIP CALCULATOR</x:v>
      </x:c>
      <x:c r="B41" s="199" t="str">
        <x:v>PROPERTY OWNERSHIP CALCULATOR</x:v>
      </x:c>
      <x:c r="C41" s="199" t="str">
        <x:v>PROPERTY OWNERSHIP CALCULATOR</x:v>
      </x:c>
      <x:c r="D41" s="199" t="str">
        <x:v>PROPERTY OWNERSHIP CALCULATOR</x:v>
      </x:c>
      <x:c r="E41" s="199" t="str">
        <x:v>PROPERTY OWNERSHIP CALCULATOR</x:v>
      </x:c>
      <x:c r="F41" s="199" t="str">
        <x:v>PROPERTY OWNERSHIP CALCULATOR</x:v>
      </x:c>
      <x:c r="G41" s="199" t="str">
        <x:v>PROPERTY OWNERSHIP CALCULATOR</x:v>
      </x:c>
    </x:row>
    <x:row r="42" ht="25" customHeight="1">
      <x:c r="A42" s="199" t="str">
        <x:v>Assumption / metric</x:v>
      </x:c>
      <x:c r="B42" s="199" t="str"/>
      <x:c r="C42" s="199" t="str">
        <x:v>Conservative</x:v>
      </x:c>
      <x:c r="D42" s="199" t="str">
        <x:v>Base</x:v>
      </x:c>
      <x:c r="E42" s="199" t="str">
        <x:v>Aggressive</x:v>
      </x:c>
      <x:c r="F42" s="200"/>
      <x:c r="G42" s="200"/>
    </x:row>
    <x:row r="43" ht="25" customHeight="1">
      <x:c r="A43" s="200" t="str">
        <x:v>ADR multiplier</x:v>
      </x:c>
      <x:c r="B43" s="200"/>
      <x:c r="C43" s="228" t="n">
        <x:v>0.85</x:v>
      </x:c>
      <x:c r="D43" s="228" t="n">
        <x:v>1</x:v>
      </x:c>
      <x:c r="E43" s="228" t="n">
        <x:v>1.15</x:v>
      </x:c>
      <x:c r="F43" s="200"/>
      <x:c r="G43" s="200"/>
    </x:row>
    <x:row r="44" ht="25" customHeight="1">
      <x:c r="A44" s="200" t="str">
        <x:v>Occupancy shift (points)</x:v>
      </x:c>
      <x:c r="B44" s="200"/>
      <x:c r="C44" s="224" t="n">
        <x:v>-0.1</x:v>
      </x:c>
      <x:c r="D44" s="224" t="n">
        <x:v>0</x:v>
      </x:c>
      <x:c r="E44" s="224" t="n">
        <x:v>0.1</x:v>
      </x:c>
      <x:c r="F44" s="200"/>
      <x:c r="G44" s="200"/>
    </x:row>
    <x:row r="45" ht="25" customHeight="1">
      <x:c r="A45" s="200" t="str">
        <x:v>Fixed-cost multiplier</x:v>
      </x:c>
      <x:c r="B45" s="200"/>
      <x:c r="C45" s="228" t="n">
        <x:v>1.1</x:v>
      </x:c>
      <x:c r="D45" s="228" t="n">
        <x:v>1</x:v>
      </x:c>
      <x:c r="E45" s="228" t="n">
        <x:v>1</x:v>
      </x:c>
      <x:c r="F45" s="200"/>
      <x:c r="G45" s="200"/>
    </x:row>
    <x:row r="46" ht="25" customHeight="1">
      <x:c r="A46" s="200" t="str">
        <x:v>Unit-cost multiplier</x:v>
      </x:c>
      <x:c r="B46" s="200"/>
      <x:c r="C46" s="228" t="n">
        <x:v>1.1</x:v>
      </x:c>
      <x:c r="D46" s="228" t="n">
        <x:v>1</x:v>
      </x:c>
      <x:c r="E46" s="228" t="n">
        <x:v>1</x:v>
      </x:c>
      <x:c r="F46" s="200"/>
      <x:c r="G46" s="200"/>
    </x:row>
    <x:row r="47" ht="25" customHeight="1">
      <x:c r="A47" s="200" t="str"/>
      <x:c r="B47" s="200"/>
      <x:c r="C47" s="200"/>
      <x:c r="D47" s="200"/>
      <x:c r="E47" s="200"/>
      <x:c r="F47" s="200"/>
      <x:c r="G47" s="200"/>
    </x:row>
    <x:row r="48" ht="25" customHeight="1">
      <x:c r="A48" s="200" t="str">
        <x:v>Effective ADR</x:v>
      </x:c>
      <x:c r="B48" s="200"/>
      <x:c r="C48" s="225" t="n">
        <x:f>'Property Ownership Calculator'!$F$14*C43</x:f>
        <x:v>233.75000000000003</x:v>
      </x:c>
      <x:c r="D48" s="225" t="n">
        <x:f>'Property Ownership Calculator'!$F$14*D43</x:f>
        <x:v>275.00000000000006</x:v>
      </x:c>
      <x:c r="E48" s="225" t="n">
        <x:f>'Property Ownership Calculator'!$F$14*E43</x:f>
        <x:v>316.25000000000006</x:v>
      </x:c>
      <x:c r="F48" s="200"/>
      <x:c r="G48" s="200"/>
    </x:row>
    <x:row r="49" ht="25" customHeight="1">
      <x:c r="A49" s="200" t="str">
        <x:v>Occupancy</x:v>
      </x:c>
      <x:c r="B49" s="200"/>
      <x:c r="C49" s="224" t="n">
        <x:f>MAX(0,MIN(1,'Property Ownership Calculator'!$F$13+C44))</x:f>
        <x:v>0.45000000000000007</x:v>
      </x:c>
      <x:c r="D49" s="224" t="n">
        <x:f>MAX(0,MIN(1,'Property Ownership Calculator'!$F$13+D44))</x:f>
        <x:v>0.55</x:v>
      </x:c>
      <x:c r="E49" s="224" t="n">
        <x:f>MAX(0,MIN(1,'Property Ownership Calculator'!$F$13+E44))</x:f>
        <x:v>0.65</x:v>
      </x:c>
      <x:c r="F49" s="200"/>
      <x:c r="G49" s="200"/>
    </x:row>
    <x:row r="50" ht="25" customHeight="1">
      <x:c r="A50" s="200" t="str">
        <x:v>Available nights</x:v>
      </x:c>
      <x:c r="B50" s="200"/>
      <x:c r="C50" s="226" t="n">
        <x:f>'Property Ownership Calculator'!$F$15</x:f>
        <x:v>360</x:v>
      </x:c>
      <x:c r="D50" s="226" t="n">
        <x:f>'Property Ownership Calculator'!$F$15</x:f>
        <x:v>360</x:v>
      </x:c>
      <x:c r="E50" s="226" t="n">
        <x:f>'Property Ownership Calculator'!$F$15</x:f>
        <x:v>360</x:v>
      </x:c>
      <x:c r="F50" s="200"/>
      <x:c r="G50" s="200"/>
    </x:row>
    <x:row r="51" ht="25" customHeight="1">
      <x:c r="A51" s="200" t="str">
        <x:v>Booked nights</x:v>
      </x:c>
      <x:c r="B51" s="200"/>
      <x:c r="C51" s="226" t="n">
        <x:f>C49*C50</x:f>
        <x:v>162.00000000000003</x:v>
      </x:c>
      <x:c r="D51" s="226" t="n">
        <x:f>D49*D50</x:f>
        <x:v>198.00000000000003</x:v>
      </x:c>
      <x:c r="E51" s="226" t="n">
        <x:f>E49*E50</x:f>
        <x:v>234</x:v>
      </x:c>
      <x:c r="F51" s="200"/>
      <x:c r="G51" s="200"/>
    </x:row>
    <x:row r="52" ht="25" customHeight="1">
      <x:c r="A52" s="200" t="str">
        <x:v>Expected stays</x:v>
      </x:c>
      <x:c r="B52" s="200"/>
      <x:c r="C52" s="226" t="n">
        <x:f>IF('Property Ownership Calculator'!$B$23&gt;0,C51/'Property Ownership Calculator'!$B$23,0)</x:f>
        <x:v>54.00000000000001</x:v>
      </x:c>
      <x:c r="D52" s="226" t="n">
        <x:f>IF('Property Ownership Calculator'!$B$23&gt;0,D51/'Property Ownership Calculator'!$B$23,0)</x:f>
        <x:v>66.00000000000001</x:v>
      </x:c>
      <x:c r="E52" s="226" t="n">
        <x:f>IF('Property Ownership Calculator'!$B$23&gt;0,E51/'Property Ownership Calculator'!$B$23,0)</x:f>
        <x:v>78</x:v>
      </x:c>
      <x:c r="F52" s="200"/>
      <x:c r="G52" s="200"/>
    </x:row>
    <x:row r="53" ht="25" customHeight="1">
      <x:c r="A53" s="200" t="str">
        <x:v>Room revenue</x:v>
      </x:c>
      <x:c r="B53" s="200"/>
      <x:c r="C53" s="225" t="n">
        <x:f>C51*C48</x:f>
        <x:v>37867.500000000015</x:v>
      </x:c>
      <x:c r="D53" s="225" t="n">
        <x:f>D51*D48</x:f>
        <x:v>54450.00000000002</x:v>
      </x:c>
      <x:c r="E53" s="225" t="n">
        <x:f>E51*E48</x:f>
        <x:v>74002.50000000001</x:v>
      </x:c>
      <x:c r="F53" s="200"/>
      <x:c r="G53" s="200"/>
    </x:row>
    <x:row r="54" ht="25" customHeight="1">
      <x:c r="A54" s="200" t="str">
        <x:v>Guest fee revenue</x:v>
      </x:c>
      <x:c r="B54" s="200"/>
      <x:c r="C54" s="225" t="n">
        <x:f>C52*('Property Ownership Calculator'!$B$24+'Property Ownership Calculator'!$B$25)</x:f>
        <x:v>8100.000000000001</x:v>
      </x:c>
      <x:c r="D54" s="225" t="n">
        <x:f>D52*('Property Ownership Calculator'!$B$24+'Property Ownership Calculator'!$B$25)</x:f>
        <x:v>9900.000000000002</x:v>
      </x:c>
      <x:c r="E54" s="225" t="n">
        <x:f>E52*('Property Ownership Calculator'!$B$24+'Property Ownership Calculator'!$B$25)</x:f>
        <x:v>11700</x:v>
      </x:c>
      <x:c r="F54" s="200"/>
      <x:c r="G54" s="200"/>
    </x:row>
    <x:row r="55" ht="25" customHeight="1">
      <x:c r="A55" s="200" t="str">
        <x:v>Gross booking revenue</x:v>
      </x:c>
      <x:c r="B55" s="200"/>
      <x:c r="C55" s="225" t="n">
        <x:f>SUM(C53:C54)</x:f>
        <x:v>45967.500000000015</x:v>
      </x:c>
      <x:c r="D55" s="225" t="n">
        <x:f>SUM(D53:D54)</x:f>
        <x:v>64350.00000000002</x:v>
      </x:c>
      <x:c r="E55" s="225" t="n">
        <x:f>SUM(E53:E54)</x:f>
        <x:v>85702.50000000001</x:v>
      </x:c>
      <x:c r="F55" s="200"/>
      <x:c r="G55" s="200"/>
    </x:row>
    <x:row r="56" ht="25" customHeight="1">
      <x:c r="A56" s="200" t="str">
        <x:v>Platform fees</x:v>
      </x:c>
      <x:c r="B56" s="200"/>
      <x:c r="C56" s="225" t="n">
        <x:f>C55*'Property Ownership Calculator'!$B$26</x:f>
        <x:v>7124.962500000002</x:v>
      </x:c>
      <x:c r="D56" s="225" t="n">
        <x:f>D55*'Property Ownership Calculator'!$B$26</x:f>
        <x:v>9974.250000000004</x:v>
      </x:c>
      <x:c r="E56" s="225" t="n">
        <x:f>E55*'Property Ownership Calculator'!$B$26</x:f>
        <x:v>13283.887500000003</x:v>
      </x:c>
      <x:c r="F56" s="200"/>
      <x:c r="G56" s="200"/>
    </x:row>
    <x:row r="57" ht="25" customHeight="1">
      <x:c r="A57" s="200" t="str">
        <x:v>Management fees</x:v>
      </x:c>
      <x:c r="B57" s="200"/>
      <x:c r="C57" s="225" t="n">
        <x:f>IF('Property Ownership Calculator'!$B$28="Gross booking",C55,C53)*'Property Ownership Calculator'!$B$27</x:f>
        <x:v>7573.500000000004</x:v>
      </x:c>
      <x:c r="D57" s="225" t="n">
        <x:f>IF('Property Ownership Calculator'!$B$28="Gross booking",D55,D53)*'Property Ownership Calculator'!$B$27</x:f>
        <x:v>10890.000000000005</x:v>
      </x:c>
      <x:c r="E57" s="225" t="n">
        <x:f>IF('Property Ownership Calculator'!$B$28="Gross booking",E55,E53)*'Property Ownership Calculator'!$B$27</x:f>
        <x:v>14800.500000000004</x:v>
      </x:c>
      <x:c r="F57" s="200"/>
      <x:c r="G57" s="200"/>
    </x:row>
    <x:row r="58" ht="25" customHeight="1">
      <x:c r="A58" s="200" t="str">
        <x:v>Turnover + consumables</x:v>
      </x:c>
      <x:c r="B58" s="200"/>
      <x:c r="C58" s="225" t="n">
        <x:f>(C52*'Property Ownership Calculator'!$B$55+C51*'Property Ownership Calculator'!$B$56)*C46</x:f>
        <x:v>9622.800000000003</x:v>
      </x:c>
      <x:c r="D58" s="225" t="n">
        <x:f>(D52*'Property Ownership Calculator'!$B$55+D51*'Property Ownership Calculator'!$B$56)*D46</x:f>
        <x:v>10692.000000000002</x:v>
      </x:c>
      <x:c r="E58" s="225" t="n">
        <x:f>(E52*'Property Ownership Calculator'!$B$55+E51*'Property Ownership Calculator'!$B$56)*E46</x:f>
        <x:v>12636</x:v>
      </x:c>
      <x:c r="F58" s="200"/>
      <x:c r="G58" s="200"/>
    </x:row>
    <x:row r="59" ht="25" customHeight="1">
      <x:c r="A59" s="200" t="str">
        <x:v>Repairs + capital reserve</x:v>
      </x:c>
      <x:c r="B59" s="200"/>
      <x:c r="C59" s="225" t="n">
        <x:f>C53*('Property Ownership Calculator'!$B$57+'Property Ownership Calculator'!$B$58)</x:f>
        <x:v>2650.7250000000013</x:v>
      </x:c>
      <x:c r="D59" s="225" t="n">
        <x:f>D53*('Property Ownership Calculator'!$B$57+'Property Ownership Calculator'!$B$58)</x:f>
        <x:v>3811.500000000002</x:v>
      </x:c>
      <x:c r="E59" s="225" t="n">
        <x:f>E53*('Property Ownership Calculator'!$B$57+'Property Ownership Calculator'!$B$58)</x:f>
        <x:v>5180.175000000001</x:v>
      </x:c>
      <x:c r="F59" s="200"/>
      <x:c r="G59" s="200"/>
    </x:row>
    <x:row r="60" ht="25" customHeight="1">
      <x:c r="A60" s="200" t="str">
        <x:v>Host-absorbed tax</x:v>
      </x:c>
      <x:c r="B60" s="200"/>
      <x:c r="C60" s="225" t="n">
        <x:f>C55*'Property Ownership Calculator'!$B$59</x:f>
        <x:v>0</x:v>
      </x:c>
      <x:c r="D60" s="225" t="n">
        <x:f>D55*'Property Ownership Calculator'!$B$59</x:f>
        <x:v>0</x:v>
      </x:c>
      <x:c r="E60" s="225" t="n">
        <x:f>E55*'Property Ownership Calculator'!$B$59</x:f>
        <x:v>0</x:v>
      </x:c>
      <x:c r="F60" s="200"/>
      <x:c r="G60" s="200"/>
    </x:row>
    <x:row r="61" ht="25" customHeight="1">
      <x:c r="A61" s="200" t="str">
        <x:v>Fixed operating costs</x:v>
      </x:c>
      <x:c r="B61" s="200"/>
      <x:c r="C61" s="225" t="n">
        <x:f>'Property Ownership Calculator'!$F$30*C45</x:f>
        <x:v>18810</x:v>
      </x:c>
      <x:c r="D61" s="225" t="n">
        <x:f>'Property Ownership Calculator'!$F$30*D45</x:f>
        <x:v>17100</x:v>
      </x:c>
      <x:c r="E61" s="225" t="n">
        <x:f>'Property Ownership Calculator'!$F$30*E45</x:f>
        <x:v>17100</x:v>
      </x:c>
      <x:c r="F61" s="200"/>
      <x:c r="G61" s="200"/>
    </x:row>
    <x:row r="62" ht="25" customHeight="1">
      <x:c r="A62" s="200" t="str">
        <x:v>Debt service</x:v>
      </x:c>
      <x:c r="B62" s="200"/>
      <x:c r="C62" s="225" t="n">
        <x:f>'Property Ownership Calculator'!$F$33</x:f>
        <x:v>20430.840041898777</x:v>
      </x:c>
      <x:c r="D62" s="225" t="n">
        <x:f>'Property Ownership Calculator'!$F$33</x:f>
        <x:v>20430.840041898777</x:v>
      </x:c>
      <x:c r="E62" s="225" t="n">
        <x:f>'Property Ownership Calculator'!$F$33</x:f>
        <x:v>20430.840041898777</x:v>
      </x:c>
      <x:c r="F62" s="200"/>
      <x:c r="G62" s="200"/>
    </x:row>
    <x:row r="63" ht="25" customHeight="1">
      <x:c r="A63" s="199" t="str">
        <x:v>ANNUAL CASH FLOW</x:v>
      </x:c>
      <x:c r="B63" s="199"/>
      <x:c r="C63" s="221" t="n">
        <x:f>C55-SUM(C56:C62)</x:f>
        <x:v>-20245.327541898776</x:v>
      </x:c>
      <x:c r="D63" s="221" t="n">
        <x:f>D55-SUM(D56:D62)</x:f>
        <x:v>-8548.590041898766</x:v>
      </x:c>
      <x:c r="E63" s="221" t="n">
        <x:f>E55-SUM(E56:E62)</x:f>
        <x:v>2271.097458101227</x:v>
      </x:c>
      <x:c r="F63" s="200"/>
      <x:c r="G63" s="200" t="str">
        <x:v>Use the conservative case to decide how much cash you can afford to risk, not the aggressive case to justify the price.</x:v>
      </x:c>
    </x:row>
    <x:row r="64" ht="25" customHeight="1">
      <x:c r="A64" s="199" t="str">
        <x:v>Monthly cash flow</x:v>
      </x:c>
      <x:c r="B64" s="199"/>
      <x:c r="C64" s="221" t="n">
        <x:f>C63/12</x:f>
        <x:v>-1687.1106284915647</x:v>
      </x:c>
      <x:c r="D64" s="221" t="n">
        <x:f>D63/12</x:f>
        <x:v>-712.3825034915639</x:v>
      </x:c>
      <x:c r="E64" s="221" t="n">
        <x:f>E63/12</x:f>
        <x:v>189.25812150843558</x:v>
      </x:c>
      <x:c r="F64" s="200"/>
      <x:c r="G64" s="200"/>
    </x:row>
    <x:row r="65" ht="25" customHeight="1">
      <x:c r="A65" s="199" t="str">
        <x:v>Cash-on-cash</x:v>
      </x:c>
      <x:c r="B65" s="199"/>
      <x:c r="C65" s="222" t="n">
        <x:f>IF('Property Ownership Calculator'!$F$39&gt;0,C63/'Property Ownership Calculator'!$F$39,"N/M")</x:f>
        <x:v>-0.14409485794945748</x:v>
      </x:c>
      <x:c r="D65" s="222" t="n">
        <x:f>IF('Property Ownership Calculator'!$F$39&gt;0,D63/'Property Ownership Calculator'!$F$39,"N/M")</x:f>
        <x:v>-0.060844057237713634</x:v>
      </x:c>
      <x:c r="E65" s="222" t="n">
        <x:f>IF('Property Ownership Calculator'!$F$39&gt;0,E63/'Property Ownership Calculator'!$F$39,"N/M")</x:f>
        <x:v>0.016164394719581688</x:v>
      </x:c>
      <x:c r="F65" s="200"/>
      <x:c r="G65" s="200"/>
    </x:row>
    <x:row r="66" ht="25" customHeight="1">
      <x:c r="A66" s="199" t="str">
        <x:v>Break-even occupancy</x:v>
      </x:c>
      <x:c r="B66" s="199"/>
      <x:c r="C66" s="222" t="n">
        <x:f>IF(AND(C50&gt;0,(C48*(1-'Property Ownership Calculator'!$B$26-'Property Ownership Calculator'!$B$27-'Property Ownership Calculator'!$B$57-'Property Ownership Calculator'!$B$58-'Property Ownership Calculator'!$B$59)+IF('Property Ownership Calculator'!$B$23&gt;0,('Property Ownership Calculator'!$B$24+'Property Ownership Calculator'!$B$25)/'Property Ownership Calculator'!$B$23*(1-'Property Ownership Calculator'!$B$26-IF('Property Ownership Calculator'!$B$28="Gross booking",'Property Ownership Calculator'!$B$27,0)-'Property Ownership Calculator'!$B$59)-('Property Ownership Calculator'!$B$55/'Property Ownership Calculator'!$B$23+'Property Ownership Calculator'!$B$56)*C46,0))&gt;0),(C61+C62)/(C50*(C48*(1-'Property Ownership Calculator'!$B$26-'Property Ownership Calculator'!$B$27-'Property Ownership Calculator'!$B$57-'Property Ownership Calculator'!$B$58-'Property Ownership Calculator'!$B$59)+IF('Property Ownership Calculator'!$B$23&gt;0,('Property Ownership Calculator'!$B$24+'Property Ownership Calculator'!$B$25)/'Property Ownership Calculator'!$B$23*(1-'Property Ownership Calculator'!$B$26-IF('Property Ownership Calculator'!$B$28="Gross booking",'Property Ownership Calculator'!$B$27,0)-'Property Ownership Calculator'!$B$59)-('Property Ownership Calculator'!$B$55/'Property Ownership Calculator'!$B$23+'Property Ownership Calculator'!$B$56)*C46,0))),"N/M")</x:f>
        <x:v>0.9296078754839833</x:v>
      </x:c>
      <x:c r="D66" s="222" t="n">
        <x:f>IF(AND(D50&gt;0,(D48*(1-'Property Ownership Calculator'!$B$26-'Property Ownership Calculator'!$B$27-'Property Ownership Calculator'!$B$57-'Property Ownership Calculator'!$B$58-'Property Ownership Calculator'!$B$59)+IF('Property Ownership Calculator'!$B$23&gt;0,('Property Ownership Calculator'!$B$24+'Property Ownership Calculator'!$B$25)/'Property Ownership Calculator'!$B$23*(1-'Property Ownership Calculator'!$B$26-IF('Property Ownership Calculator'!$B$28="Gross booking",'Property Ownership Calculator'!$B$27,0)-'Property Ownership Calculator'!$B$59)-('Property Ownership Calculator'!$B$55/'Property Ownership Calculator'!$B$23+'Property Ownership Calculator'!$B$56)*D46,0))&gt;0),(D61+D62)/(D50*(D48*(1-'Property Ownership Calculator'!$B$26-'Property Ownership Calculator'!$B$27-'Property Ownership Calculator'!$B$57-'Property Ownership Calculator'!$B$58-'Property Ownership Calculator'!$B$59)+IF('Property Ownership Calculator'!$B$23&gt;0,('Property Ownership Calculator'!$B$24+'Property Ownership Calculator'!$B$25)/'Property Ownership Calculator'!$B$23*(1-'Property Ownership Calculator'!$B$26-IF('Property Ownership Calculator'!$B$28="Gross booking",'Property Ownership Calculator'!$B$27,0)-'Property Ownership Calculator'!$B$59)-('Property Ownership Calculator'!$B$55/'Property Ownership Calculator'!$B$23+'Property Ownership Calculator'!$B$56)*D46,0))),"N/M")</x:f>
        <x:v>0.7122277263857817</x:v>
      </x:c>
      <x:c r="E66" s="222" t="n">
        <x:f>IF(AND(E50&gt;0,(E48*(1-'Property Ownership Calculator'!$B$26-'Property Ownership Calculator'!$B$27-'Property Ownership Calculator'!$B$57-'Property Ownership Calculator'!$B$58-'Property Ownership Calculator'!$B$59)+IF('Property Ownership Calculator'!$B$23&gt;0,('Property Ownership Calculator'!$B$24+'Property Ownership Calculator'!$B$25)/'Property Ownership Calculator'!$B$23*(1-'Property Ownership Calculator'!$B$26-IF('Property Ownership Calculator'!$B$28="Gross booking",'Property Ownership Calculator'!$B$27,0)-'Property Ownership Calculator'!$B$59)-('Property Ownership Calculator'!$B$55/'Property Ownership Calculator'!$B$23+'Property Ownership Calculator'!$B$56)*E46,0))&gt;0),(E61+E62)/(E50*(E48*(1-'Property Ownership Calculator'!$B$26-'Property Ownership Calculator'!$B$27-'Property Ownership Calculator'!$B$57-'Property Ownership Calculator'!$B$58-'Property Ownership Calculator'!$B$59)+IF('Property Ownership Calculator'!$B$23&gt;0,('Property Ownership Calculator'!$B$24+'Property Ownership Calculator'!$B$25)/'Property Ownership Calculator'!$B$23*(1-'Property Ownership Calculator'!$B$26-IF('Property Ownership Calculator'!$B$28="Gross booking",'Property Ownership Calculator'!$B$27,0)-'Property Ownership Calculator'!$B$59)-('Property Ownership Calculator'!$B$55/'Property Ownership Calculator'!$B$23+'Property Ownership Calculator'!$B$56)*E46,0))),"N/M")</x:f>
        <x:v>0.6129110178928903</x:v>
      </x:c>
      <x:c r="F66" s="200"/>
      <x:c r="G66" s="200"/>
    </x:row>
    <x:row r="67" ht="25" customHeight="1">
      <x:c r="A67" s="200" t="str">
        <x:v>Cash profit margin</x:v>
      </x:c>
      <x:c r="B67" s="200"/>
      <x:c r="C67" s="224" t="n">
        <x:f>IF(C55&gt;0,C63/C55,"N/M")</x:f>
        <x:v>-0.44042698736931024</x:v>
      </x:c>
      <x:c r="D67" s="224" t="n">
        <x:f>IF(D55&gt;0,D63/D55,"N/M")</x:f>
        <x:v>-0.13284522209632887</x:v>
      </x:c>
      <x:c r="E67" s="224" t="n">
        <x:f>IF(E55&gt;0,E63/E55,"N/M")</x:f>
        <x:v>0.026499780731031493</x:v>
      </x:c>
      <x:c r="F67" s="200"/>
      <x:c r="G67" s="200"/>
    </x:row>
    <x:row r="68" ht="25" customHeight="1">
      <x:c r="A68" s="6"/>
      <x:c r="B68" s="6"/>
      <x:c r="C68" s="6"/>
      <x:c r="D68" s="6"/>
      <x:c r="E68" s="6"/>
      <x:c r="F68" s="6"/>
      <x:c r="G68" s="6"/>
    </x:row>
    <x:row r="69" ht="25" customHeight="1">
      <x:c r="A69" s="6"/>
      <x:c r="B69" s="6"/>
      <x:c r="C69" s="6"/>
      <x:c r="D69" s="6"/>
      <x:c r="E69" s="6"/>
      <x:c r="F69" s="6"/>
      <x:c r="G69" s="6"/>
    </x:row>
    <x:row r="70" ht="25" customHeight="1">
      <x:c r="A70" s="6"/>
      <x:c r="B70" s="6"/>
      <x:c r="C70" s="6"/>
      <x:c r="D70" s="6"/>
      <x:c r="E70" s="6"/>
      <x:c r="F70" s="6"/>
      <x:c r="G70" s="6"/>
    </x:row>
    <x:row r="71" ht="25" customHeight="1">
      <x:c r="A71" s="6"/>
      <x:c r="B71" s="6"/>
      <x:c r="C71" s="6"/>
      <x:c r="D71" s="6"/>
      <x:c r="E71" s="6"/>
      <x:c r="F71" s="6"/>
      <x:c r="G71" s="6"/>
    </x:row>
    <x:row r="72" ht="25" customHeight="1">
      <x:c r="A72" s="6"/>
      <x:c r="B72" s="6"/>
      <x:c r="C72" s="6"/>
      <x:c r="D72" s="6"/>
      <x:c r="E72" s="6"/>
      <x:c r="F72" s="6"/>
      <x:c r="G72" s="6"/>
    </x:row>
    <x:row r="73" ht="25" customHeight="1">
      <x:c r="A73" s="6"/>
      <x:c r="B73" s="6"/>
      <x:c r="C73" s="6"/>
      <x:c r="D73" s="6"/>
      <x:c r="E73" s="6"/>
      <x:c r="F73" s="6"/>
      <x:c r="G73" s="6"/>
    </x:row>
    <x:row r="74" ht="25" customHeight="1">
      <x:c r="A74" s="6"/>
      <x:c r="B74" s="6"/>
      <x:c r="C74" s="6"/>
      <x:c r="D74" s="6"/>
      <x:c r="E74" s="6"/>
      <x:c r="F74" s="6"/>
      <x:c r="G74" s="6"/>
    </x:row>
    <x:row r="75" ht="25" customHeight="1">
      <x:c r="A75" s="6"/>
      <x:c r="B75" s="6"/>
      <x:c r="C75" s="6"/>
      <x:c r="D75" s="6"/>
      <x:c r="E75" s="6"/>
      <x:c r="F75" s="6"/>
      <x:c r="G75" s="6"/>
    </x:row>
    <x:row r="76" ht="25" customHeight="1">
      <x:c r="A76" s="6"/>
      <x:c r="B76" s="6"/>
      <x:c r="C76" s="6"/>
      <x:c r="D76" s="6"/>
      <x:c r="E76" s="6"/>
      <x:c r="F76" s="6"/>
      <x:c r="G76" s="6"/>
    </x:row>
    <x:row r="77" ht="25" customHeight="1">
      <x:c r="A77" s="6"/>
      <x:c r="B77" s="6"/>
      <x:c r="C77" s="6"/>
      <x:c r="D77" s="6"/>
      <x:c r="E77" s="6"/>
      <x:c r="F77" s="6"/>
      <x:c r="G77" s="6"/>
    </x:row>
    <x:row r="78" ht="25" customHeight="1">
      <x:c r="A78" s="6"/>
      <x:c r="B78" s="6"/>
      <x:c r="C78" s="6"/>
      <x:c r="D78" s="6"/>
      <x:c r="E78" s="6"/>
      <x:c r="F78" s="6"/>
      <x:c r="G78" s="6"/>
    </x:row>
  </x:sheetData>
  <x:mergeCells>
    <x:mergeCell ref="A1:G2"/>
    <x:mergeCell ref="A3:G5"/>
    <x:mergeCell ref="A11:G11"/>
    <x:mergeCell ref="A41:G41"/>
  </x:mergeCells>
  <x:conditionalFormatting sqref="C33:E37">
    <x:cfRule type="cellIs" dxfId="2" priority="1" operator="lessThan">
      <x:formula>0</x:formula>
    </x:cfRule>
  </x:conditionalFormatting>
  <x:conditionalFormatting sqref="C63:E67">
    <x:cfRule type="cellIs" dxfId="3" priority="2" operator="lessThan">
      <x:formula>0</x:formula>
    </x:cfRule>
  </x:conditionalFormatting>
  <x:dataValidations count="24">
    <x:dataValidation type="decimal" operator="between" sqref="C13">
      <x:formula1>0</x:formula1>
      <x:formula2>5</x:formula2>
    </x:dataValidation>
    <x:dataValidation type="decimal" operator="between" sqref="C14">
      <x:formula1>-1</x:formula1>
      <x:formula2>1</x:formula2>
    </x:dataValidation>
    <x:dataValidation type="decimal" operator="between" sqref="C15">
      <x:formula1>0</x:formula1>
      <x:formula2>5</x:formula2>
    </x:dataValidation>
    <x:dataValidation type="decimal" operator="between" sqref="C16">
      <x:formula1>0</x:formula1>
      <x:formula2>5</x:formula2>
    </x:dataValidation>
    <x:dataValidation type="decimal" operator="between" sqref="D13">
      <x:formula1>0</x:formula1>
      <x:formula2>5</x:formula2>
    </x:dataValidation>
    <x:dataValidation type="decimal" operator="between" sqref="D14">
      <x:formula1>-1</x:formula1>
      <x:formula2>1</x:formula2>
    </x:dataValidation>
    <x:dataValidation type="decimal" operator="between" sqref="D15">
      <x:formula1>0</x:formula1>
      <x:formula2>5</x:formula2>
    </x:dataValidation>
    <x:dataValidation type="decimal" operator="between" sqref="D16">
      <x:formula1>0</x:formula1>
      <x:formula2>5</x:formula2>
    </x:dataValidation>
    <x:dataValidation type="decimal" operator="between" sqref="E13">
      <x:formula1>0</x:formula1>
      <x:formula2>5</x:formula2>
    </x:dataValidation>
    <x:dataValidation type="decimal" operator="between" sqref="E14">
      <x:formula1>-1</x:formula1>
      <x:formula2>1</x:formula2>
    </x:dataValidation>
    <x:dataValidation type="decimal" operator="between" sqref="E15">
      <x:formula1>0</x:formula1>
      <x:formula2>5</x:formula2>
    </x:dataValidation>
    <x:dataValidation type="decimal" operator="between" sqref="E16">
      <x:formula1>0</x:formula1>
      <x:formula2>5</x:formula2>
    </x:dataValidation>
    <x:dataValidation type="decimal" operator="between" sqref="C43">
      <x:formula1>0</x:formula1>
      <x:formula2>5</x:formula2>
    </x:dataValidation>
    <x:dataValidation type="decimal" operator="between" sqref="C44">
      <x:formula1>-1</x:formula1>
      <x:formula2>1</x:formula2>
    </x:dataValidation>
    <x:dataValidation type="decimal" operator="between" sqref="C45">
      <x:formula1>0</x:formula1>
      <x:formula2>5</x:formula2>
    </x:dataValidation>
    <x:dataValidation type="decimal" operator="between" sqref="C46">
      <x:formula1>0</x:formula1>
      <x:formula2>5</x:formula2>
    </x:dataValidation>
    <x:dataValidation type="decimal" operator="between" sqref="D43">
      <x:formula1>0</x:formula1>
      <x:formula2>5</x:formula2>
    </x:dataValidation>
    <x:dataValidation type="decimal" operator="between" sqref="D44">
      <x:formula1>-1</x:formula1>
      <x:formula2>1</x:formula2>
    </x:dataValidation>
    <x:dataValidation type="decimal" operator="between" sqref="D45">
      <x:formula1>0</x:formula1>
      <x:formula2>5</x:formula2>
    </x:dataValidation>
    <x:dataValidation type="decimal" operator="between" sqref="D46">
      <x:formula1>0</x:formula1>
      <x:formula2>5</x:formula2>
    </x:dataValidation>
    <x:dataValidation type="decimal" operator="between" sqref="E43">
      <x:formula1>0</x:formula1>
      <x:formula2>5</x:formula2>
    </x:dataValidation>
    <x:dataValidation type="decimal" operator="between" sqref="E44">
      <x:formula1>-1</x:formula1>
      <x:formula2>1</x:formula2>
    </x:dataValidation>
    <x:dataValidation type="decimal" operator="between" sqref="E45">
      <x:formula1>0</x:formula1>
      <x:formula2>5</x:formula2>
    </x:dataValidation>
    <x:dataValidation type="decimal" operator="between" sqref="E46">
      <x:formula1>0</x:formula1>
      <x:formula2>5</x:formula2>
    </x:dataValidation>
  </x:dataValidation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31" hidden="0" customWidth="1"/>
    <x:col min="2" max="2" width="18" hidden="0" customWidth="1"/>
    <x:col min="3" max="3" width="45" hidden="0" customWidth="1"/>
    <x:col min="4" max="4" width="3" hidden="0" customWidth="1"/>
    <x:col min="5" max="5" width="31" hidden="0" customWidth="1"/>
    <x:col min="6" max="6" width="18" hidden="0" customWidth="1"/>
    <x:col min="7" max="7" width="43" hidden="0" customWidth="1"/>
  </x:cols>
  <x:sheetData>
    <x:row r="1" ht="28" customHeight="1">
      <x:c r="A1" s="202" t="str">
        <x:v>TAX PLANNING | Illustrations, not promises</x:v>
      </x:c>
      <x:c r="B1" s="202" t="str">
        <x:v>TAX PLANNING | Illustrations, not promises</x:v>
      </x:c>
      <x:c r="C1" s="202" t="str">
        <x:v>TAX PLANNING | Illustrations, not promises</x:v>
      </x:c>
      <x:c r="D1" s="202" t="str">
        <x:v>TAX PLANNING | Illustrations, not promises</x:v>
      </x:c>
      <x:c r="E1" s="202" t="str">
        <x:v>TAX PLANNING | Illustrations, not promises</x:v>
      </x:c>
      <x:c r="F1" s="202" t="str">
        <x:v>TAX PLANNING | Illustrations, not promises</x:v>
      </x:c>
      <x:c r="G1" s="202" t="str">
        <x:v>TAX PLANNING | Illustrations, not promises</x:v>
      </x:c>
    </x:row>
    <x:row r="2" ht="24" customHeight="1">
      <x:c r="A2" s="202" t="str">
        <x:v>TAX PLANNING | Illustrations, not promises</x:v>
      </x:c>
      <x:c r="B2" s="202" t="str">
        <x:v>TAX PLANNING | Illustrations, not promises</x:v>
      </x:c>
      <x:c r="C2" s="202" t="str">
        <x:v>TAX PLANNING | Illustrations, not promises</x:v>
      </x:c>
      <x:c r="D2" s="202" t="str">
        <x:v>TAX PLANNING | Illustrations, not promises</x:v>
      </x:c>
      <x:c r="E2" s="202" t="str">
        <x:v>TAX PLANNING | Illustrations, not promises</x:v>
      </x:c>
      <x:c r="F2" s="202" t="str">
        <x:v>TAX PLANNING | Illustrations, not promises</x:v>
      </x:c>
      <x:c r="G2" s="202" t="str">
        <x:v>TAX PLANNING | Illustrations, not promises</x:v>
      </x:c>
    </x:row>
    <x:row r="3" ht="27" customHeight="1">
      <x:c r="A3" s="203" t="str">
        <x:v>Federal law reviewed September 21, 2026 • Illustrative first calendar-year estimate • 100% business-use example only. A qualified tax professional must confirm basis, classifications, conventions and usable losses.</x:v>
      </x:c>
      <x:c r="B3" s="203" t="str">
        <x:v>Federal law reviewed September 21, 2026 • Illustrative first calendar-year estimate • 100% business-use example only. A qualified tax professional must confirm basis, classifications, conventions and usable losses.</x:v>
      </x:c>
      <x:c r="C3" s="203" t="str">
        <x:v>Federal law reviewed September 21, 2026 • Illustrative first calendar-year estimate • 100% business-use example only. A qualified tax professional must confirm basis, classifications, conventions and usable losses.</x:v>
      </x:c>
      <x:c r="D3" s="203" t="str">
        <x:v>Federal law reviewed September 21, 2026 • Illustrative first calendar-year estimate • 100% business-use example only. A qualified tax professional must confirm basis, classifications, conventions and usable losses.</x:v>
      </x:c>
      <x:c r="E3" s="203" t="str">
        <x:v>Federal law reviewed September 21, 2026 • Illustrative first calendar-year estimate • 100% business-use example only. A qualified tax professional must confirm basis, classifications, conventions and usable losses.</x:v>
      </x:c>
      <x:c r="F3" s="203" t="str">
        <x:v>Federal law reviewed September 21, 2026 • Illustrative first calendar-year estimate • 100% business-use example only. A qualified tax professional must confirm basis, classifications, conventions and usable losses.</x:v>
      </x:c>
      <x:c r="G3" s="203" t="str">
        <x:v>Federal law reviewed September 21, 2026 • Illustrative first calendar-year estimate • 100% business-use example only. A qualified tax professional must confirm basis, classifications, conventions and usable losses.</x:v>
      </x:c>
    </x:row>
    <x:row r="4" ht="27" customHeight="1">
      <x:c r="A4" s="203" t="str">
        <x:v>Federal law reviewed September 21, 2026 • Illustrative first calendar-year estimate • 100% business-use example only. A qualified tax professional must confirm basis, classifications, conventions and usable losses.</x:v>
      </x:c>
      <x:c r="B4" s="203" t="str">
        <x:v>Federal law reviewed September 21, 2026 • Illustrative first calendar-year estimate • 100% business-use example only. A qualified tax professional must confirm basis, classifications, conventions and usable losses.</x:v>
      </x:c>
      <x:c r="C4" s="203" t="str">
        <x:v>Federal law reviewed September 21, 2026 • Illustrative first calendar-year estimate • 100% business-use example only. A qualified tax professional must confirm basis, classifications, conventions and usable losses.</x:v>
      </x:c>
      <x:c r="D4" s="203" t="str">
        <x:v>Federal law reviewed September 21, 2026 • Illustrative first calendar-year estimate • 100% business-use example only. A qualified tax professional must confirm basis, classifications, conventions and usable losses.</x:v>
      </x:c>
      <x:c r="E4" s="203" t="str">
        <x:v>Federal law reviewed September 21, 2026 • Illustrative first calendar-year estimate • 100% business-use example only. A qualified tax professional must confirm basis, classifications, conventions and usable losses.</x:v>
      </x:c>
      <x:c r="F4" s="203" t="str">
        <x:v>Federal law reviewed September 21, 2026 • Illustrative first calendar-year estimate • 100% business-use example only. A qualified tax professional must confirm basis, classifications, conventions and usable losses.</x:v>
      </x:c>
      <x:c r="G4" s="203" t="str">
        <x:v>Federal law reviewed September 21, 2026 • Illustrative first calendar-year estimate • 100% business-use example only. A qualified tax professional must confirm basis, classifications, conventions and usable losses.</x:v>
      </x:c>
    </x:row>
    <x:row r="5" ht="27" customHeight="1">
      <x:c r="A5" s="200"/>
      <x:c r="B5" s="200"/>
      <x:c r="C5" s="200"/>
      <x:c r="D5" s="200"/>
      <x:c r="E5" s="200"/>
      <x:c r="F5" s="200"/>
      <x:c r="G5" s="200"/>
    </x:row>
    <x:row r="6" ht="27" customHeight="1">
      <x:c r="A6" s="317" t="str">
        <x:v>OPERATING QUALITY FIRST
No tax benefit is included in either deal's financial screening targets.</x:v>
      </x:c>
      <x:c r="B6" s="317" t="str">
        <x:v>OPERATING QUALITY FIRST
No tax benefit is included in either deal's financial screening targets.</x:v>
      </x:c>
      <x:c r="C6" s="317" t="str">
        <x:v>OPERATING QUALITY FIRST
No tax benefit is included in either deal's financial screening targets.</x:v>
      </x:c>
      <x:c r="D6" s="317"/>
      <x:c r="E6" s="317" t="str">
        <x:v>A deduction is not cash.
Loss limits, future tax and recapture can change the benefit.</x:v>
      </x:c>
      <x:c r="F6" s="319" t="str">
        <x:v>A deduction is not cash.
Loss limits, future tax and recapture can change the benefit.</x:v>
      </x:c>
      <x:c r="G6" s="317" t="str">
        <x:v>A deduction is not cash.
Loss limits, future tax and recapture can change the benefit.</x:v>
      </x:c>
    </x:row>
    <x:row r="7" ht="27" customHeight="1">
      <x:c r="A7" s="199" t="str">
        <x:v>OPERATING QUALITY FIRST
No tax benefit is included in either deal's financial screening targets.</x:v>
      </x:c>
      <x:c r="B7" s="199" t="str">
        <x:v>OPERATING QUALITY FIRST
No tax benefit is included in either deal's financial screening targets.</x:v>
      </x:c>
      <x:c r="C7" s="199" t="str">
        <x:v>OPERATING QUALITY FIRST
No tax benefit is included in either deal's financial screening targets.</x:v>
      </x:c>
      <x:c r="D7" s="200"/>
      <x:c r="E7" s="199" t="str">
        <x:v>A deduction is not cash.
Loss limits, future tax and recapture can change the benefit.</x:v>
      </x:c>
      <x:c r="F7" s="282" t="str">
        <x:v>A deduction is not cash.
Loss limits, future tax and recapture can change the benefit.</x:v>
      </x:c>
      <x:c r="G7" s="199" t="str">
        <x:v>A deduction is not cash.
Loss limits, future tax and recapture can change the benefit.</x:v>
      </x:c>
    </x:row>
    <x:row r="8" ht="27" customHeight="1">
      <x:c r="A8" s="199" t="str">
        <x:v>OPERATING QUALITY FIRST
No tax benefit is included in either deal's financial screening targets.</x:v>
      </x:c>
      <x:c r="B8" s="199" t="str">
        <x:v>OPERATING QUALITY FIRST
No tax benefit is included in either deal's financial screening targets.</x:v>
      </x:c>
      <x:c r="C8" s="199" t="str">
        <x:v>OPERATING QUALITY FIRST
No tax benefit is included in either deal's financial screening targets.</x:v>
      </x:c>
      <x:c r="D8" s="200"/>
      <x:c r="E8" s="199" t="str">
        <x:v>A deduction is not cash.
Loss limits, future tax and recapture can change the benefit.</x:v>
      </x:c>
      <x:c r="F8" s="282" t="str">
        <x:v>A deduction is not cash.
Loss limits, future tax and recapture can change the benefit.</x:v>
      </x:c>
      <x:c r="G8" s="199" t="str">
        <x:v>A deduction is not cash.
Loss limits, future tax and recapture can change the benefit.</x:v>
      </x:c>
    </x:row>
    <x:row r="9" ht="27" customHeight="1">
      <x:c r="A9" s="200"/>
      <x:c r="B9" s="200"/>
      <x:c r="C9" s="200"/>
      <x:c r="D9" s="200"/>
      <x:c r="E9" s="200"/>
      <x:c r="F9" s="281"/>
      <x:c r="G9" s="200"/>
    </x:row>
    <x:row r="10" ht="27" customHeight="1">
      <x:c r="A10" s="200" t="str">
        <x:v>UNCONFIRMED eligibility defaults prevent automatic bonus depreciation and loss offsets. Other depreciation figures remain hypothetical demonstrations until reviewed.</x:v>
      </x:c>
      <x:c r="B10" s="200" t="str">
        <x:v>UNCONFIRMED eligibility defaults prevent automatic bonus depreciation and loss offsets. Other depreciation figures remain hypothetical demonstrations until reviewed.</x:v>
      </x:c>
      <x:c r="C10" s="200" t="str">
        <x:v>UNCONFIRMED eligibility defaults prevent automatic bonus depreciation and loss offsets. Other depreciation figures remain hypothetical demonstrations until reviewed.</x:v>
      </x:c>
      <x:c r="D10" s="200" t="str">
        <x:v>UNCONFIRMED eligibility defaults prevent automatic bonus depreciation and loss offsets. Other depreciation figures remain hypothetical demonstrations until reviewed.</x:v>
      </x:c>
      <x:c r="E10" s="200" t="str">
        <x:v>UNCONFIRMED eligibility defaults prevent automatic bonus depreciation and loss offsets. Other depreciation figures remain hypothetical demonstrations until reviewed.</x:v>
      </x:c>
      <x:c r="F10" s="281" t="str">
        <x:v>UNCONFIRMED eligibility defaults prevent automatic bonus depreciation and loss offsets. Other depreciation figures remain hypothetical demonstrations until reviewed.</x:v>
      </x:c>
      <x:c r="G10" s="200" t="str">
        <x:v>UNCONFIRMED eligibility defaults prevent automatic bonus depreciation and loss offsets. Other depreciation figures remain hypothetical demonstrations until reviewed.</x:v>
      </x:c>
    </x:row>
    <x:row r="11" ht="27" customHeight="1">
      <x:c r="A11" s="200"/>
      <x:c r="B11" s="200"/>
      <x:c r="C11" s="200"/>
      <x:c r="D11" s="200"/>
      <x:c r="E11" s="200"/>
      <x:c r="F11" s="281"/>
      <x:c r="G11" s="200"/>
    </x:row>
    <x:row r="12" ht="25" customHeight="1">
      <x:c r="A12" s="199" t="str">
        <x:v>01 / BASIS + TAXPAYER ASSUMPTIONS</x:v>
      </x:c>
      <x:c r="B12" s="199" t="str">
        <x:v>01 / BASIS + TAXPAYER ASSUMPTIONS</x:v>
      </x:c>
      <x:c r="C12" s="199" t="str">
        <x:v>01 / BASIS + TAXPAYER ASSUMPTIONS</x:v>
      </x:c>
      <x:c r="D12" s="200"/>
      <x:c r="E12" s="199" t="str">
        <x:v>ILLUSTRATIVE FIRST-YEAR OUTPUTS</x:v>
      </x:c>
      <x:c r="F12" s="282" t="str">
        <x:v>ILLUSTRATIVE FIRST-YEAR OUTPUTS</x:v>
      </x:c>
      <x:c r="G12" s="199" t="str">
        <x:v>ILLUSTRATIVE FIRST-YEAR OUTPUTS</x:v>
      </x:c>
    </x:row>
    <x:row r="13" ht="28" customHeight="1">
      <x:c r="A13" s="200" t="str">
        <x:v>Acquisition / binding-contract date</x:v>
      </x:c>
      <x:c r="B13" s="318" t="n">
        <x:v>46042</x:v>
      </x:c>
      <x:c r="C13" s="200" t="str">
        <x:v>Illustrative date. CPA must determine tax acquisition date, not just closing date.</x:v>
      </x:c>
      <x:c r="D13" s="200"/>
      <x:c r="E13" s="200" t="str">
        <x:v>Purchase price</x:v>
      </x:c>
      <x:c r="F13" s="284" t="n">
        <x:f>'Property Ownership Calculator'!B17</x:f>
        <x:v>350000</x:v>
      </x:c>
      <x:c r="G13" s="200" t="str">
        <x:v>Linked from ownership, not arbitrage.</x:v>
      </x:c>
    </x:row>
    <x:row r="14" ht="28" customHeight="1">
      <x:c r="A14" s="200" t="str">
        <x:v>Placed-in-service date</x:v>
      </x:c>
      <x:c r="B14" s="318" t="n">
        <x:v>46042</x:v>
      </x:c>
      <x:c r="C14" s="200" t="str">
        <x:v>Illustrative date; property must be ready and available for its intended rental use.</x:v>
      </x:c>
      <x:c r="D14" s="200"/>
      <x:c r="E14" s="200" t="str">
        <x:v>Land allocation</x:v>
      </x:c>
      <x:c r="F14" s="284" t="n">
        <x:f>F13*B18</x:f>
        <x:v>70000</x:v>
      </x:c>
      <x:c r="G14" s="200" t="str">
        <x:v>Excluded from all depreciation.</x:v>
      </x:c>
    </x:row>
    <x:row r="15" ht="28" customHeight="1">
      <x:c r="A15" s="200" t="str">
        <x:v>Placed-in-service month</x:v>
      </x:c>
      <x:c r="B15" s="264" t="n">
        <x:f>MONTH(B14)</x:f>
        <x:v>1</x:v>
      </x:c>
      <x:c r="C15" s="200" t="str">
        <x:v>Derived from the example date.</x:v>
      </x:c>
      <x:c r="D15" s="200"/>
      <x:c r="E15" s="200" t="str">
        <x:v>Depreciable real-estate basis</x:v>
      </x:c>
      <x:c r="F15" s="284" t="n">
        <x:f>MAX(0,F13-F14+B19+B20+B21)</x:f>
        <x:v>290000</x:v>
      </x:c>
      <x:c r="G15" s="200" t="str">
        <x:v>Before cost-seg split; does not include furniture.</x:v>
      </x:c>
    </x:row>
    <x:row r="16" ht="28" customHeight="1">
      <x:c r="A16" s="200" t="str">
        <x:v>Illustrative tax year</x:v>
      </x:c>
      <x:c r="B16" s="264" t="n">
        <x:f>YEAR(B14)</x:f>
        <x:v>2026</x:v>
      </x:c>
      <x:c r="C16" s="200" t="str">
        <x:v>Calendar-year model only.</x:v>
      </x:c>
      <x:c r="D16" s="200"/>
      <x:c r="E16" s="200" t="str">
        <x:v>Reclassified short-life basis</x:v>
      </x:c>
      <x:c r="F16" s="284" t="n">
        <x:f>F15*B22</x:f>
        <x:v>58000</x:v>
      </x:c>
      <x:c r="G16" s="200" t="str">
        <x:v>Educational allocation; actual study may differ.</x:v>
      </x:c>
    </x:row>
    <x:row r="17" ht="28" customHeight="1">
      <x:c r="A17" s="200"/>
      <x:c r="B17" s="268"/>
      <x:c r="C17" s="200"/>
      <x:c r="D17" s="200"/>
      <x:c r="E17" s="200" t="str">
        <x:v>Remaining building basis</x:v>
      </x:c>
      <x:c r="F17" s="284" t="n">
        <x:f>F15-F16</x:f>
        <x:v>232000</x:v>
      </x:c>
      <x:c r="G17" s="200" t="str">
        <x:v>Long-life structural basis.</x:v>
      </x:c>
    </x:row>
    <x:row r="18" ht="28" customHeight="1">
      <x:c r="A18" s="200" t="str">
        <x:v>Land percentage</x:v>
      </x:c>
      <x:c r="B18" s="266" t="n">
        <x:v>0.2</x:v>
      </x:c>
      <x:c r="C18" s="200" t="str">
        <x:v>Illustrative allocation, not an appraisal. Land is not depreciable.</x:v>
      </x:c>
      <x:c r="D18" s="200"/>
      <x:c r="E18" s="200" t="str">
        <x:v>Effective bonus rate: cost seg</x:v>
      </x:c>
      <x:c r="F18" s="283" t="n">
        <x:f>IF(AND(B28="Yes",B30="Yes",B13&gt;DATE(2025,1,19),B14&gt;=B13),B29,0)</x:f>
        <x:v>0</x:v>
      </x:c>
      <x:c r="G18" s="200" t="str">
        <x:v>Zero unless eligibility and study gates are confirmed.</x:v>
      </x:c>
    </x:row>
    <x:row r="19" ht="28" customHeight="1">
      <x:c r="A19" s="200" t="str">
        <x:v>Capitalizable closing costs</x:v>
      </x:c>
      <x:c r="B19" s="265" t="n">
        <x:v>0</x:v>
      </x:c>
      <x:c r="C19" s="200" t="str">
        <x:v>Only basis-eligible costs, not all cash closing costs.</x:v>
      </x:c>
      <x:c r="D19" s="200"/>
      <x:c r="E19" s="200" t="str">
        <x:v>Bonus on reclassified assets</x:v>
      </x:c>
      <x:c r="F19" s="284" t="n">
        <x:f>F16*F18</x:f>
        <x:v>0</x:v>
      </x:c>
      <x:c r="G19" s="200" t="str">
        <x:v>Qualified short-life assets only, never land.</x:v>
      </x:c>
    </x:row>
    <x:row r="20" ht="28" customHeight="1">
      <x:c r="A20" s="200" t="str">
        <x:v>Renovation cash included in basis</x:v>
      </x:c>
      <x:c r="B20" s="265" t="n">
        <x:f>'Property Ownership Calculator'!B36</x:f>
        <x:v>10000</x:v>
      </x:c>
      <x:c r="C20" s="200" t="str">
        <x:v>Linked assumption; adjust row 21 for actual tax capitalization.</x:v>
      </x:c>
      <x:c r="D20" s="200"/>
      <x:c r="E20" s="200" t="str">
        <x:v>Weighted regular first-year rate</x:v>
      </x:c>
      <x:c r="F20" s="283" t="n">
        <x:f>SUMPRODUCT(B24:B26,B45:B47)</x:f>
        <x:v>0.15499999999999997</x:v>
      </x:c>
      <x:c r="G20" s="200" t="str">
        <x:v>Class-weighted MACRS assumption.</x:v>
      </x:c>
    </x:row>
    <x:row r="21" ht="28" customHeight="1">
      <x:c r="A21" s="200" t="str">
        <x:v>CPA basis adjustment</x:v>
      </x:c>
      <x:c r="B21" s="265" t="n">
        <x:v>0</x:v>
      </x:c>
      <x:c r="C21" s="200" t="str">
        <x:v>Signed adjustment to remove ineligible costs or add eligible capitalized basis.</x:v>
      </x:c>
      <x:c r="D21" s="200"/>
      <x:c r="E21" s="200" t="str">
        <x:v>Regular short-life depreciation</x:v>
      </x:c>
      <x:c r="F21" s="284" t="n">
        <x:f>(F16-F19)*F20</x:f>
        <x:v>8989.999999999998</x:v>
      </x:c>
      <x:c r="G21" s="200" t="str">
        <x:v>Only basis remaining after bonus; no double deduction.</x:v>
      </x:c>
    </x:row>
    <x:row r="22" ht="28" customHeight="1">
      <x:c r="A22" s="200" t="str">
        <x:v>Cost-seg reclassification share</x:v>
      </x:c>
      <x:c r="B22" s="266" t="n">
        <x:v>0.2</x:v>
      </x:c>
      <x:c r="C22" s="200" t="str">
        <x:v>Illustrative share of depreciable real-estate basis; not a typical or promised result.</x:v>
      </x:c>
      <x:c r="D22" s="200"/>
      <x:c r="E22" s="200" t="str">
        <x:v>Building first-year depreciation</x:v>
      </x:c>
      <x:c r="F22" s="284" t="n">
        <x:f>IF(B27&gt;0,F17/B27*(12-B15+0.5)/12,0)</x:f>
        <x:v>5700.8547008547</x:v>
      </x:c>
      <x:c r="G22" s="200" t="str">
        <x:v>Mid-month convention; CPA confirms building life.</x:v>
      </x:c>
    </x:row>
    <x:row r="23" ht="28" customHeight="1">
      <x:c r="A23" s="200"/>
      <x:c r="B23" s="268"/>
      <x:c r="C23" s="200"/>
      <x:c r="D23" s="200"/>
      <x:c r="E23" s="200" t="str">
        <x:v>Furniture basis</x:v>
      </x:c>
      <x:c r="F23" s="284" t="n">
        <x:f>B31</x:f>
        <x:v>15000</x:v>
      </x:c>
      <x:c r="G23" s="200" t="str">
        <x:v>Must not also be in cost-seg real-estate basis.</x:v>
      </x:c>
    </x:row>
    <x:row r="24" ht="28" customHeight="1">
      <x:c r="A24" s="200" t="str">
        <x:v>5-year share of reclassified basis</x:v>
      </x:c>
      <x:c r="B24" s="266" t="n">
        <x:v>0.7</x:v>
      </x:c>
      <x:c r="C24" s="200" t="str">
        <x:v>Class shares must total 100%. Study-specific asset classification.</x:v>
      </x:c>
      <x:c r="D24" s="200"/>
      <x:c r="E24" s="200" t="str">
        <x:v>Furniture bonus depreciation</x:v>
      </x:c>
      <x:c r="F24" s="284" t="n">
        <x:f>IF(AND(B28="Yes",B32="Yes",B13&gt;DATE(2025,1,19),B14&gt;=B13),F23*B29,0)</x:f>
        <x:v>0</x:v>
      </x:c>
      <x:c r="G24" s="200" t="str">
        <x:v>Subject to separate qualification confirmation.</x:v>
      </x:c>
    </x:row>
    <x:row r="25" ht="28" customHeight="1">
      <x:c r="A25" s="200" t="str">
        <x:v>7-year share of reclassified basis</x:v>
      </x:c>
      <x:c r="B25" s="266" t="n">
        <x:v>0</x:v>
      </x:c>
      <x:c r="C25" s="200" t="str">
        <x:v>Class shares must total 100%.</x:v>
      </x:c>
      <x:c r="D25" s="200"/>
      <x:c r="E25" s="200" t="str">
        <x:v>Regular furniture depreciation</x:v>
      </x:c>
      <x:c r="F25" s="284" t="n">
        <x:f>(F23-F24)*B48</x:f>
        <x:v>3000</x:v>
      </x:c>
      <x:c r="G25" s="200" t="str">
        <x:v>On non-bonus remaining basis.</x:v>
      </x:c>
    </x:row>
    <x:row r="26" ht="28" customHeight="1">
      <x:c r="A26" s="200" t="str">
        <x:v>15-year share of reclassified basis</x:v>
      </x:c>
      <x:c r="B26" s="266" t="n">
        <x:v>0.3</x:v>
      </x:c>
      <x:c r="C26" s="200" t="str">
        <x:v>Class shares must total 100%.</x:v>
      </x:c>
      <x:c r="D26" s="200"/>
      <x:c r="E26" s="200" t="str">
        <x:v>FIRST-YEAR DEPRECIATION</x:v>
      </x:c>
      <x:c r="F26" s="284" t="n">
        <x:f>SUM(F19,F21:F22,F24:F25)</x:f>
        <x:v>17690.8547008547</x:v>
      </x:c>
      <x:c r="G26" s="200" t="str">
        <x:v>Illustration before taxpayer-specific deduction limits.</x:v>
      </x:c>
    </x:row>
    <x:row r="27" ht="28" customHeight="1">
      <x:c r="A27" s="200" t="str">
        <x:v>Building recovery life (years)</x:v>
      </x:c>
      <x:c r="B27" s="267" t="n">
        <x:v>39</x:v>
      </x:c>
      <x:c r="C27" s="200" t="str">
        <x:v>39 is a conservative example. CPA decides 27.5 vs 39; seven-day rule does not decide it.</x:v>
      </x:c>
      <x:c r="D27" s="200"/>
      <x:c r="E27" s="200" t="str">
        <x:v>Illustrative depreciation deduction</x:v>
      </x:c>
      <x:c r="F27" s="284" t="n">
        <x:f>F26</x:f>
        <x:v>17690.8547008547</x:v>
      </x:c>
      <x:c r="G27" s="200" t="str">
        <x:v>Not a guaranteed usable deduction or tax refund.</x:v>
      </x:c>
    </x:row>
    <x:row r="28" ht="28" customHeight="1">
      <x:c r="A28" s="200" t="str">
        <x:v>Bonus eligibility + dates confirmed</x:v>
      </x:c>
      <x:c r="B28" s="263" t="str">
        <x:v>Unconfirmed</x:v>
      </x:c>
      <x:c r="C28" s="200" t="str">
        <x:v>Yes means CPA confirmed post-Jan-19-2025 acquisition, placed-in-service and qualified assets.</x:v>
      </x:c>
      <x:c r="D28" s="200"/>
      <x:c r="E28" s="200" t="str">
        <x:v>Modeled operating months</x:v>
      </x:c>
      <x:c r="F28" s="320" t="n">
        <x:f>13-B15</x:f>
        <x:v>12</x:v>
      </x:c>
      <x:c r="G28" s="200" t="str">
        <x:v>First partial month counted as full for operating estimate.</x:v>
      </x:c>
    </x:row>
    <x:row r="29" ht="28" customHeight="1">
      <x:c r="A29" s="200" t="str">
        <x:v>Requested federal bonus rate</x:v>
      </x:c>
      <x:c r="B29" s="266" t="n">
        <x:v>1</x:v>
      </x:c>
      <x:c r="C29" s="200" t="str">
        <x:v>100% statutory rate for qualifying post-Jan-19-2025 property; elections may differ.</x:v>
      </x:c>
      <x:c r="D29" s="200"/>
      <x:c r="E29" s="200" t="str">
        <x:v>First-year NOI proxy</x:v>
      </x:c>
      <x:c r="F29" s="284" t="n">
        <x:f>'Property Ownership Calculator'!F32*F28/12</x:f>
        <x:v>14060.250000000007</x:v>
      </x:c>
      <x:c r="G29" s="200" t="str">
        <x:v>Annual average prorated; not a calendar-specific tax ledger.</x:v>
      </x:c>
    </x:row>
    <x:row r="30" ht="28" customHeight="1">
      <x:c r="A30" s="200" t="str">
        <x:v>Cost segregation supported</x:v>
      </x:c>
      <x:c r="B30" s="263" t="str">
        <x:v>Unconfirmed</x:v>
      </x:c>
      <x:c r="C30" s="200" t="str">
        <x:v>Yes means asset classifications and allocations are professionally supported.</x:v>
      </x:c>
      <x:c r="D30" s="200"/>
      <x:c r="E30" s="200" t="str">
        <x:v>First-year loan interest</x:v>
      </x:c>
      <x:c r="F30" s="284" t="n">
        <x:f>SUMIF('Loan Amortization'!A13:A24,"&lt;="&amp;F28,'Loan Amortization'!E13:E24)</x:f>
        <x:v>17633.25139872307</x:v>
      </x:c>
      <x:c r="G30" s="200" t="str">
        <x:v>Assumes debt begins with opening; no loan-fee amortization.</x:v>
      </x:c>
    </x:row>
    <x:row r="31" ht="35" customHeight="1">
      <x:c r="A31" s="200" t="str">
        <x:v>Separately acquired furniture basis</x:v>
      </x:c>
      <x:c r="B31" s="265" t="n">
        <x:f>'Property Ownership Calculator'!B37</x:f>
        <x:v>15000</x:v>
      </x:c>
      <x:c r="C31" s="200" t="str">
        <x:v>Linked cash budget; qualification and tax basis may differ.</x:v>
      </x:c>
      <x:c r="D31" s="200"/>
      <x:c r="E31" s="200" t="str">
        <x:v>Taxable income before depreciation</x:v>
      </x:c>
      <x:c r="F31" s="284" t="n">
        <x:f>F29-F30+B42</x:f>
        <x:v>-3573.001398723063</x:v>
      </x:c>
      <x:c r="G31" s="200" t="str">
        <x:v>NOI minus interest plus CPA adjustment; principal is not deductible.</x:v>
      </x:c>
    </x:row>
    <x:row r="32" ht="28" customHeight="1">
      <x:c r="A32" s="200" t="str">
        <x:v>Furniture qualification confirmed</x:v>
      </x:c>
      <x:c r="B32" s="263" t="str">
        <x:v>Unconfirmed</x:v>
      </x:c>
      <x:c r="C32" s="200" t="str">
        <x:v>No double count: furniture is outside the real-estate cost-seg basis.</x:v>
      </x:c>
      <x:c r="D32" s="200"/>
      <x:c r="E32" s="200" t="str">
        <x:v>PRE-TAX CASH FLOW</x:v>
      </x:c>
      <x:c r="F32" s="284" t="n">
        <x:f>'Property Ownership Calculator'!F34*F28/12</x:f>
        <x:v>-8548.59004189877</x:v>
      </x:c>
      <x:c r="G32" s="200" t="str">
        <x:v>Includes P&amp;I and CapEx reserve; operating-month approximation.</x:v>
      </x:c>
    </x:row>
    <x:row r="33" ht="28" customHeight="1">
      <x:c r="A33" s="200" t="str">
        <x:v>Marginal federal tax rate</x:v>
      </x:c>
      <x:c r="B33" s="266" t="n">
        <x:v>0.32</x:v>
      </x:c>
      <x:c r="C33" s="200" t="str">
        <x:v>Illustrative marginal rate; tax brackets, credits and phaseouts are not modeled.</x:v>
      </x:c>
      <x:c r="D33" s="200"/>
      <x:c r="E33" s="200" t="str">
        <x:v>Taxable result after depreciation</x:v>
      </x:c>
      <x:c r="F33" s="284" t="n">
        <x:f>F31-F26</x:f>
        <x:v>-21263.856099577763</x:v>
      </x:c>
      <x:c r="G33" s="200" t="str">
        <x:v>Can be negative without generating a current tax benefit.</x:v>
      </x:c>
    </x:row>
    <x:row r="34" ht="28" customHeight="1">
      <x:c r="A34" s="200" t="str">
        <x:v>Marginal state tax rate</x:v>
      </x:c>
      <x:c r="B34" s="266" t="n">
        <x:v>0.05</x:v>
      </x:c>
      <x:c r="C34" s="200" t="str">
        <x:v>Illustrative rate only. No federal deduction for state tax is assumed.</x:v>
      </x:c>
      <x:c r="D34" s="200"/>
      <x:c r="E34" s="200" t="str">
        <x:v>Federal loss with modeled current use</x:v>
      </x:c>
      <x:c r="F34" s="284" t="n">
        <x:f>IF(AND(B37="Yes",B38="Yes"),MIN(MAX(0,-F33),B39),0)</x:f>
        <x:v>0</x:v>
      </x:c>
      <x:c r="G34" s="200" t="str">
        <x:v>Limited by the CPA-entered other-income offset cap.</x:v>
      </x:c>
    </x:row>
    <x:row r="35" ht="28" customHeight="1">
      <x:c r="A35" s="200" t="str">
        <x:v>State calculation reviewed</x:v>
      </x:c>
      <x:c r="B35" s="263" t="str">
        <x:v>Unconfirmed</x:v>
      </x:c>
      <x:c r="C35" s="200" t="str">
        <x:v>State impact is not modeled until Yes. Federal conformity is not automatic.</x:v>
      </x:c>
      <x:c r="D35" s="200"/>
      <x:c r="E35" s="200" t="str">
        <x:v>Loss without modeled current benefit</x:v>
      </x:c>
      <x:c r="F35" s="284" t="n">
        <x:f>MAX(0,-F33)-F34</x:f>
        <x:v>21263.856099577763</x:v>
      </x:c>
      <x:c r="G35" s="200" t="str">
        <x:v>Carryforward/disallowance treatment requires professional review.</x:v>
      </x:c>
    </x:row>
    <x:row r="36" ht="28" customHeight="1">
      <x:c r="A36" s="200" t="str">
        <x:v>State allowed first-year depreciation</x:v>
      </x:c>
      <x:c r="B36" s="265" t="n">
        <x:v>0</x:v>
      </x:c>
      <x:c r="C36" s="200" t="str">
        <x:v>Enter the state-specific amount from your CPA; not copied from federal depreciation.</x:v>
      </x:c>
      <x:c r="D36" s="200"/>
      <x:c r="E36" s="200" t="str">
        <x:v>Federal tax without depreciation</x:v>
      </x:c>
      <x:c r="F36" s="284" t="n">
        <x:f>MAX(0,F31)*B33-IF(AND(B37="Yes",B38="Yes"),MIN(MAX(0,-F31),B39),0)*B33</x:f>
        <x:v>0</x:v>
      </x:c>
      <x:c r="G36" s="200" t="str">
        <x:v>Counterfactual comparison under the same loss-use gates.</x:v>
      </x:c>
    </x:row>
    <x:row r="37" ht="28" customHeight="1">
      <x:c r="A37" s="200" t="str">
        <x:v>Material participation supported</x:v>
      </x:c>
      <x:c r="B37" s="263" t="str">
        <x:v>Unconfirmed</x:v>
      </x:c>
      <x:c r="C37" s="200" t="str">
        <x:v>Requires facts and records; ownership or 100 hours alone is not enough.</x:v>
      </x:c>
      <x:c r="D37" s="200"/>
      <x:c r="E37" s="200" t="str">
        <x:v>Federal tax after depreciation</x:v>
      </x:c>
      <x:c r="F37" s="284" t="n">
        <x:f>MAX(0,F33)*B33-F34*B33</x:f>
        <x:v>0</x:v>
      </x:c>
      <x:c r="G37" s="200" t="str">
        <x:v>Negative amount represents conditional tax benefit on other income.</x:v>
      </x:c>
    </x:row>
    <x:row r="38" ht="35" customHeight="1">
      <x:c r="A38" s="200" t="str">
        <x:v>Federal nonpassive + loss limits cleared</x:v>
      </x:c>
      <x:c r="B38" s="263" t="str">
        <x:v>Unconfirmed</x:v>
      </x:c>
      <x:c r="C38" s="200" t="str">
        <x:v>CPA confirms STR classification, basis, at-risk, passive and excess-business-loss limits.</x:v>
      </x:c>
      <x:c r="D38" s="200"/>
      <x:c r="E38" s="200" t="str">
        <x:v>ILLUSTRATIVE FEDERAL TAX BENEFIT</x:v>
      </x:c>
      <x:c r="F38" s="284" t="n">
        <x:f>F36-F37</x:f>
        <x:v>0</x:v>
      </x:c>
      <x:c r="G38" s="200" t="str">
        <x:v>Incremental reduction vs no-depreciation case, not guaranteed savings.</x:v>
      </x:c>
    </x:row>
    <x:row r="39" ht="35" customHeight="1">
      <x:c r="A39" s="200" t="str">
        <x:v>Federal loss usable against other income</x:v>
      </x:c>
      <x:c r="B39" s="265" t="n">
        <x:v>0</x:v>
      </x:c>
      <x:c r="C39" s="200" t="str">
        <x:v>Maximum currently usable deduction dollars after all limits; zero until confirmed.</x:v>
      </x:c>
      <x:c r="D39" s="200"/>
      <x:c r="E39" s="200" t="str">
        <x:v>State tax without depreciation</x:v>
      </x:c>
      <x:c r="F39" s="284" t="str">
        <x:f>IF(B35="Yes",MAX(0,F31)*B34-IF(AND(B35="Yes",B40="Yes"),MIN(MAX(0,-F31),B41),0)*B34,"Not modeled")</x:f>
        <x:v>Not modeled</x:v>
      </x:c>
      <x:c r="G39" s="200" t="str">
        <x:v>Unknown is not zero tax; state impact remains unmodeled until reviewed.</x:v>
      </x:c>
    </x:row>
    <x:row r="40" ht="28" customHeight="1">
      <x:c r="A40" s="200" t="str">
        <x:v>State other-income loss use cleared</x:v>
      </x:c>
      <x:c r="B40" s="263" t="str">
        <x:v>Unconfirmed</x:v>
      </x:c>
      <x:c r="C40" s="200" t="str">
        <x:v>State loss rules reviewed separately.</x:v>
      </x:c>
      <x:c r="D40" s="200"/>
      <x:c r="E40" s="200" t="str">
        <x:v>State tax after depreciation</x:v>
      </x:c>
      <x:c r="F40" s="284" t="str">
        <x:f>IF(B35="Yes",MAX(0,F31-B36)*B34-IF(AND(B35="Yes",B40="Yes"),MIN(MAX(0,-(F31-B36)),B41),0)*B34,"Not modeled")</x:f>
        <x:v>Not modeled</x:v>
      </x:c>
      <x:c r="G40" s="200" t="str">
        <x:v>Uses the independent state depreciation input.</x:v>
      </x:c>
    </x:row>
    <x:row r="41" ht="28" customHeight="1">
      <x:c r="A41" s="200" t="str">
        <x:v>State loss usable against other income</x:v>
      </x:c>
      <x:c r="B41" s="265" t="n">
        <x:v>0</x:v>
      </x:c>
      <x:c r="C41" s="200" t="str">
        <x:v>Maximum currently usable state deduction dollars after limits.</x:v>
      </x:c>
      <x:c r="D41" s="200"/>
      <x:c r="E41" s="200" t="str">
        <x:v>ILLUSTRATIVE STATE TAX BENEFIT</x:v>
      </x:c>
      <x:c r="F41" s="284" t="str">
        <x:f>IF(B35="Yes",F39-F40,"Not modeled")</x:f>
        <x:v>Not modeled</x:v>
      </x:c>
      <x:c r="G41" s="200" t="str">
        <x:v>No automatic assumption of federal conformity.</x:v>
      </x:c>
    </x:row>
    <x:row r="42" ht="28" customHeight="1">
      <x:c r="A42" s="200" t="str">
        <x:v>CPA pre-depreciation income adjustment</x:v>
      </x:c>
      <x:c r="B42" s="265" t="n">
        <x:v>0</x:v>
      </x:c>
      <x:c r="C42" s="200" t="str">
        <x:v>Signed. Add back unspent expense allowances; include other actual tax adjustments.</x:v>
      </x:c>
      <x:c r="D42" s="200"/>
      <x:c r="E42" s="200" t="str">
        <x:v>Combined modeled tax benefit</x:v>
      </x:c>
      <x:c r="F42" s="284" t="n">
        <x:f>F38+IF(ISNUMBER(F41),F41,0)</x:f>
        <x:v>0</x:v>
      </x:c>
      <x:c r="G42" s="200" t="str">
        <x:v>Excludes state when unreviewed.</x:v>
      </x:c>
    </x:row>
    <x:row r="43" ht="35" customHeight="1">
      <x:c r="A43" s="200"/>
      <x:c r="B43" s="268"/>
      <x:c r="C43" s="200"/>
      <x:c r="D43" s="200"/>
      <x:c r="E43" s="200" t="str">
        <x:v>AFTER-TAX CASH FLOW: MODELED TAXES</x:v>
      </x:c>
      <x:c r="F43" s="284" t="n">
        <x:f>F32-F37-IF(ISNUMBER(F40),F40,0)</x:f>
        <x:v>-8548.59004189877</x:v>
      </x:c>
      <x:c r="G43" s="200" t="str">
        <x:v>Federal-only while state is unmodeled; not total personal after-tax income.</x:v>
      </x:c>
    </x:row>
    <x:row r="44" ht="28" customHeight="1">
      <x:c r="A44" s="199" t="str">
        <x:v>02 / DEPRECIATION CONVENTIONS</x:v>
      </x:c>
      <x:c r="B44" s="269" t="str">
        <x:v>02 / DEPRECIATION CONVENTIONS</x:v>
      </x:c>
      <x:c r="C44" s="199" t="str">
        <x:v>02 / DEPRECIATION CONVENTIONS</x:v>
      </x:c>
      <x:c r="D44" s="200"/>
      <x:c r="E44" s="200" t="str">
        <x:v>After-tax cash flow without depreciation</x:v>
      </x:c>
      <x:c r="F44" s="284" t="n">
        <x:f>F32-F36-IF(ISNUMBER(F39),F39,0)</x:f>
        <x:v>-8548.59004189877</x:v>
      </x:c>
      <x:c r="G44" s="200" t="str">
        <x:v>Baseline for comparison.</x:v>
      </x:c>
    </x:row>
    <x:row r="45" ht="28" customHeight="1">
      <x:c r="A45" s="200" t="str">
        <x:v>5-year first-year MACRS rate</x:v>
      </x:c>
      <x:c r="B45" s="266" t="n">
        <x:v>0.2</x:v>
      </x:c>
      <x:c r="C45" s="200" t="str">
        <x:v>Half-year GDS example; replace for a different required convention.</x:v>
      </x:c>
      <x:c r="D45" s="200"/>
      <x:c r="E45" s="200" t="str">
        <x:v>Incremental depreciation benefit</x:v>
      </x:c>
      <x:c r="F45" s="284" t="n">
        <x:f>F43-F44</x:f>
        <x:v>0</x:v>
      </x:c>
      <x:c r="G45" s="200" t="str">
        <x:v>Reconciles to combined modeled benefit above.</x:v>
      </x:c>
    </x:row>
    <x:row r="46" ht="28" customHeight="1">
      <x:c r="A46" s="200" t="str">
        <x:v>7-year first-year MACRS rate</x:v>
      </x:c>
      <x:c r="B46" s="266" t="n">
        <x:v>0.1429</x:v>
      </x:c>
      <x:c r="C46" s="200" t="str">
        <x:v>Half-year GDS example; replace for mid-quarter / other treatment.</x:v>
      </x:c>
      <x:c r="D46" s="200"/>
      <x:c r="E46" s="200"/>
      <x:c r="F46" s="281"/>
      <x:c r="G46" s="200"/>
    </x:row>
    <x:row r="47" ht="28" customHeight="1">
      <x:c r="A47" s="200" t="str">
        <x:v>15-year first-year MACRS rate</x:v>
      </x:c>
      <x:c r="B47" s="266" t="n">
        <x:v>0.05</x:v>
      </x:c>
      <x:c r="C47" s="200" t="str">
        <x:v>Half-year GDS example.</x:v>
      </x:c>
      <x:c r="D47" s="200"/>
      <x:c r="E47" s="200" t="str">
        <x:v>Arithmetic / date check</x:v>
      </x:c>
      <x:c r="F47" s="280" t="str">
        <x:f>IF(OR(ABS(SUM(B24:B26)-1)&gt;0.00001,B27&lt;=0,B18&lt;0,B18&gt;1,B22&lt;0,B22&gt;1,B29&lt;0,B29&gt;1,B14&lt;B13,F13-F14+B19+B20+B21&lt;0,B15&lt;1,B15&gt;12),"CHECK INPUTS","OK")</x:f>
        <x:v>OK</x:v>
      </x:c>
      <x:c r="G47" s="200" t="str">
        <x:v>A mathematical pass does not establish eligibility.</x:v>
      </x:c>
    </x:row>
    <x:row r="48" ht="35" customHeight="1">
      <x:c r="A48" s="200" t="str">
        <x:v>Furniture first-year MACRS rate</x:v>
      </x:c>
      <x:c r="B48" s="266" t="n">
        <x:v>0.2</x:v>
      </x:c>
      <x:c r="C48" s="200" t="str">
        <x:v>5-year half-year example; asset class and convention must be confirmed.</x:v>
      </x:c>
      <x:c r="D48" s="200"/>
      <x:c r="E48" s="200" t="str">
        <x:v>Bonus timing scope</x:v>
      </x:c>
      <x:c r="F48" s="280" t="str">
        <x:f>IF(B13&gt;DATE(2025,1,19),"POST-01/19/2025 MODEL","EARLIER ACQUISITION: CPA REVIEW")</x:f>
        <x:v>POST-01/19/2025 MODEL</x:v>
      </x:c>
      <x:c r="G48" s="200" t="str">
        <x:v>This calculator does not automate earlier-acquisition bonus schedules.</x:v>
      </x:c>
    </x:row>
    <x:row r="49" ht="28" customHeight="1">
      <x:c r="A49" s="200" t="str">
        <x:v>Convention status</x:v>
      </x:c>
      <x:c r="B49" s="263" t="str">
        <x:v>Half-year example</x:v>
      </x:c>
      <x:c r="C49" s="200" t="str">
        <x:v>Mid-quarter or ADS rules require CPA-supplied rates; this is not a tax-return engine.</x:v>
      </x:c>
      <x:c r="D49" s="200"/>
      <x:c r="E49" s="200" t="str">
        <x:v>Professional review status</x:v>
      </x:c>
      <x:c r="F49" s="280" t="str">
        <x:f>IF(AND(B28="Yes",B30="Yes",B32="Yes",B37="Yes",B38="Yes",B35="Yes",B49="CPA custom rates"),"USER-CONFIRMED ASSUMPTIONS","ILLUSTRATION: REVIEW REQUIRED")</x:f>
        <x:v>ILLUSTRATION: REVIEW REQUIRED</x:v>
      </x:c>
      <x:c r="G49" s="200" t="str">
        <x:v>All results remain educational, even after confirmation.</x:v>
      </x:c>
    </x:row>
    <x:row r="50" ht="27" customHeight="1">
      <x:c r="A50" s="200"/>
      <x:c r="B50" s="268"/>
      <x:c r="C50" s="200"/>
      <x:c r="D50" s="200"/>
      <x:c r="E50" s="200"/>
      <x:c r="F50" s="281"/>
      <x:c r="G50" s="200"/>
    </x:row>
    <x:row r="51" ht="27" customHeight="1">
      <x:c r="A51" s="200"/>
      <x:c r="B51" s="268"/>
      <x:c r="C51" s="200"/>
      <x:c r="D51" s="200"/>
      <x:c r="E51" s="200"/>
      <x:c r="F51" s="281"/>
      <x:c r="G51" s="200"/>
    </x:row>
    <x:row r="52" ht="27" customHeight="1">
      <x:c r="A52" s="200"/>
      <x:c r="B52" s="268"/>
      <x:c r="C52" s="200"/>
      <x:c r="D52" s="200"/>
      <x:c r="E52" s="200"/>
      <x:c r="F52" s="281"/>
      <x:c r="G52" s="200"/>
    </x:row>
    <x:row r="53" ht="27" customHeight="1">
      <x:c r="A53" s="199" t="str">
        <x:v>Tax treatment is not one test.</x:v>
      </x:c>
      <x:c r="B53" s="269" t="str">
        <x:v>Tax treatment is not one test.</x:v>
      </x:c>
      <x:c r="C53" s="199" t="str">
        <x:v>Tax treatment is not one test.</x:v>
      </x:c>
      <x:c r="D53" s="199" t="str">
        <x:v>Tax treatment is not one test.</x:v>
      </x:c>
      <x:c r="E53" s="199" t="str">
        <x:v>Tax treatment is not one test.</x:v>
      </x:c>
      <x:c r="F53" s="282" t="str">
        <x:v>Tax treatment is not one test.</x:v>
      </x:c>
      <x:c r="G53" s="199" t="str">
        <x:v>Tax treatment is not one test.</x:v>
      </x:c>
    </x:row>
    <x:row r="54" ht="27" customHeight="1">
      <x:c r="A54" s="200" t="str">
        <x:v>For passive-activity purposes, average customer use of seven days or less can exclude an activity from the rental category. Material participation must then be evaluated separately. This does not automatically establish Schedule C reporting, self-employment tax treatment, a 27.5-year building life or an active-income deduction. IRS Pub. 925; Pub. 527; Pub. 946.</x:v>
      </x:c>
      <x:c r="B54" s="268" t="str">
        <x:v>For passive-activity purposes, average customer use of seven days or less can exclude an activity from the rental category. Material participation must then be evaluated separately. This does not automatically establish Schedule C reporting, self-employment tax treatment, a 27.5-year building life or an active-income deduction. IRS Pub. 925; Pub. 527; Pub. 946.</x:v>
      </x:c>
      <x:c r="C54" s="200" t="str">
        <x:v>For passive-activity purposes, average customer use of seven days or less can exclude an activity from the rental category. Material participation must then be evaluated separately. This does not automatically establish Schedule C reporting, self-employment tax treatment, a 27.5-year building life or an active-income deduction. IRS Pub. 925; Pub. 527; Pub. 946.</x:v>
      </x:c>
      <x:c r="D54" s="200" t="str">
        <x:v>For passive-activity purposes, average customer use of seven days or less can exclude an activity from the rental category. Material participation must then be evaluated separately. This does not automatically establish Schedule C reporting, self-employment tax treatment, a 27.5-year building life or an active-income deduction. IRS Pub. 925; Pub. 527; Pub. 946.</x:v>
      </x:c>
      <x:c r="E54" s="200" t="str">
        <x:v>For passive-activity purposes, average customer use of seven days or less can exclude an activity from the rental category. Material participation must then be evaluated separately. This does not automatically establish Schedule C reporting, self-employment tax treatment, a 27.5-year building life or an active-income deduction. IRS Pub. 925; Pub. 527; Pub. 946.</x:v>
      </x:c>
      <x:c r="F54" s="281" t="str">
        <x:v>For passive-activity purposes, average customer use of seven days or less can exclude an activity from the rental category. Material participation must then be evaluated separately. This does not automatically establish Schedule C reporting, self-employment tax treatment, a 27.5-year building life or an active-income deduction. IRS Pub. 925; Pub. 527; Pub. 946.</x:v>
      </x:c>
      <x:c r="G54" s="200" t="str">
        <x:v>For passive-activity purposes, average customer use of seven days or less can exclude an activity from the rental category. Material participation must then be evaluated separately. This does not automatically establish Schedule C reporting, self-employment tax treatment, a 27.5-year building life or an active-income deduction. IRS Pub. 925; Pub. 527; Pub. 946.</x:v>
      </x:c>
    </x:row>
    <x:row r="55" ht="27" customHeight="1">
      <x:c r="A55" s="200" t="str">
        <x:v>For passive-activity purposes, average customer use of seven days or less can exclude an activity from the rental category. Material participation must then be evaluated separately. This does not automatically establish Schedule C reporting, self-employment tax treatment, a 27.5-year building life or an active-income deduction. IRS Pub. 925; Pub. 527; Pub. 946.</x:v>
      </x:c>
      <x:c r="B55" s="268" t="str">
        <x:v>For passive-activity purposes, average customer use of seven days or less can exclude an activity from the rental category. Material participation must then be evaluated separately. This does not automatically establish Schedule C reporting, self-employment tax treatment, a 27.5-year building life or an active-income deduction. IRS Pub. 925; Pub. 527; Pub. 946.</x:v>
      </x:c>
      <x:c r="C55" s="200" t="str">
        <x:v>For passive-activity purposes, average customer use of seven days or less can exclude an activity from the rental category. Material participation must then be evaluated separately. This does not automatically establish Schedule C reporting, self-employment tax treatment, a 27.5-year building life or an active-income deduction. IRS Pub. 925; Pub. 527; Pub. 946.</x:v>
      </x:c>
      <x:c r="D55" s="200" t="str">
        <x:v>For passive-activity purposes, average customer use of seven days or less can exclude an activity from the rental category. Material participation must then be evaluated separately. This does not automatically establish Schedule C reporting, self-employment tax treatment, a 27.5-year building life or an active-income deduction. IRS Pub. 925; Pub. 527; Pub. 946.</x:v>
      </x:c>
      <x:c r="E55" s="200" t="str">
        <x:v>For passive-activity purposes, average customer use of seven days or less can exclude an activity from the rental category. Material participation must then be evaluated separately. This does not automatically establish Schedule C reporting, self-employment tax treatment, a 27.5-year building life or an active-income deduction. IRS Pub. 925; Pub. 527; Pub. 946.</x:v>
      </x:c>
      <x:c r="F55" s="281" t="str">
        <x:v>For passive-activity purposes, average customer use of seven days or less can exclude an activity from the rental category. Material participation must then be evaluated separately. This does not automatically establish Schedule C reporting, self-employment tax treatment, a 27.5-year building life or an active-income deduction. IRS Pub. 925; Pub. 527; Pub. 946.</x:v>
      </x:c>
      <x:c r="G55" s="200" t="str">
        <x:v>For passive-activity purposes, average customer use of seven days or less can exclude an activity from the rental category. Material participation must then be evaluated separately. This does not automatically establish Schedule C reporting, self-employment tax treatment, a 27.5-year building life or an active-income deduction. IRS Pub. 925; Pub. 527; Pub. 946.</x:v>
      </x:c>
    </x:row>
    <x:row r="56" ht="27" customHeight="1">
      <x:c r="A56" s="200" t="str">
        <x:v>For passive-activity purposes, average customer use of seven days or less can exclude an activity from the rental category. Material participation must then be evaluated separately. This does not automatically establish Schedule C reporting, self-employment tax treatment, a 27.5-year building life or an active-income deduction. IRS Pub. 925; Pub. 527; Pub. 946.</x:v>
      </x:c>
      <x:c r="B56" s="268" t="str">
        <x:v>For passive-activity purposes, average customer use of seven days or less can exclude an activity from the rental category. Material participation must then be evaluated separately. This does not automatically establish Schedule C reporting, self-employment tax treatment, a 27.5-year building life or an active-income deduction. IRS Pub. 925; Pub. 527; Pub. 946.</x:v>
      </x:c>
      <x:c r="C56" s="200" t="str">
        <x:v>For passive-activity purposes, average customer use of seven days or less can exclude an activity from the rental category. Material participation must then be evaluated separately. This does not automatically establish Schedule C reporting, self-employment tax treatment, a 27.5-year building life or an active-income deduction. IRS Pub. 925; Pub. 527; Pub. 946.</x:v>
      </x:c>
      <x:c r="D56" s="200" t="str">
        <x:v>For passive-activity purposes, average customer use of seven days or less can exclude an activity from the rental category. Material participation must then be evaluated separately. This does not automatically establish Schedule C reporting, self-employment tax treatment, a 27.5-year building life or an active-income deduction. IRS Pub. 925; Pub. 527; Pub. 946.</x:v>
      </x:c>
      <x:c r="E56" s="200" t="str">
        <x:v>For passive-activity purposes, average customer use of seven days or less can exclude an activity from the rental category. Material participation must then be evaluated separately. This does not automatically establish Schedule C reporting, self-employment tax treatment, a 27.5-year building life or an active-income deduction. IRS Pub. 925; Pub. 527; Pub. 946.</x:v>
      </x:c>
      <x:c r="F56" s="281" t="str">
        <x:v>For passive-activity purposes, average customer use of seven days or less can exclude an activity from the rental category. Material participation must then be evaluated separately. This does not automatically establish Schedule C reporting, self-employment tax treatment, a 27.5-year building life or an active-income deduction. IRS Pub. 925; Pub. 527; Pub. 946.</x:v>
      </x:c>
      <x:c r="G56" s="200" t="str">
        <x:v>For passive-activity purposes, average customer use of seven days or less can exclude an activity from the rental category. Material participation must then be evaluated separately. This does not automatically establish Schedule C reporting, self-employment tax treatment, a 27.5-year building life or an active-income deduction. IRS Pub. 925; Pub. 527; Pub. 946.</x:v>
      </x:c>
    </x:row>
    <x:row r="57" ht="27" customHeight="1">
      <x:c r="A57" s="200"/>
      <x:c r="B57" s="268"/>
      <x:c r="C57" s="200"/>
      <x:c r="D57" s="200"/>
      <x:c r="E57" s="200"/>
      <x:c r="F57" s="281"/>
      <x:c r="G57" s="200"/>
    </x:row>
    <x:row r="58" ht="27" customHeight="1">
      <x:c r="A58" s="199" t="str">
        <x:v>Material participation needs facts.</x:v>
      </x:c>
      <x:c r="B58" s="269" t="str">
        <x:v>Material participation needs facts.</x:v>
      </x:c>
      <x:c r="C58" s="199" t="str">
        <x:v>Material participation needs facts.</x:v>
      </x:c>
      <x:c r="D58" s="199" t="str">
        <x:v>Material participation needs facts.</x:v>
      </x:c>
      <x:c r="E58" s="199" t="str">
        <x:v>Material participation needs facts.</x:v>
      </x:c>
      <x:c r="F58" s="282" t="str">
        <x:v>Material participation needs facts.</x:v>
      </x:c>
      <x:c r="G58" s="199" t="str">
        <x:v>Material participation needs facts.</x:v>
      </x:c>
    </x:row>
    <x:row r="59" ht="27" customHeight="1">
      <x:c r="A59" s="200" t="str">
        <x:v>Common tests include more than 500 hours; substantially all participation; or more than 100 hours and at least as much as any other individual. These are alternatives, not interchangeable shortcuts. A contemporaneous activity log is a practical evidence habit. IRS Pub. 925.</x:v>
      </x:c>
      <x:c r="B59" s="268" t="str">
        <x:v>Common tests include more than 500 hours; substantially all participation; or more than 100 hours and at least as much as any other individual. These are alternatives, not interchangeable shortcuts. A contemporaneous activity log is a practical evidence habit. IRS Pub. 925.</x:v>
      </x:c>
      <x:c r="C59" s="200" t="str">
        <x:v>Common tests include more than 500 hours; substantially all participation; or more than 100 hours and at least as much as any other individual. These are alternatives, not interchangeable shortcuts. A contemporaneous activity log is a practical evidence habit. IRS Pub. 925.</x:v>
      </x:c>
      <x:c r="D59" s="200" t="str">
        <x:v>Common tests include more than 500 hours; substantially all participation; or more than 100 hours and at least as much as any other individual. These are alternatives, not interchangeable shortcuts. A contemporaneous activity log is a practical evidence habit. IRS Pub. 925.</x:v>
      </x:c>
      <x:c r="E59" s="200" t="str">
        <x:v>Common tests include more than 500 hours; substantially all participation; or more than 100 hours and at least as much as any other individual. These are alternatives, not interchangeable shortcuts. A contemporaneous activity log is a practical evidence habit. IRS Pub. 925.</x:v>
      </x:c>
      <x:c r="F59" s="281" t="str">
        <x:v>Common tests include more than 500 hours; substantially all participation; or more than 100 hours and at least as much as any other individual. These are alternatives, not interchangeable shortcuts. A contemporaneous activity log is a practical evidence habit. IRS Pub. 925.</x:v>
      </x:c>
      <x:c r="G59" s="200" t="str">
        <x:v>Common tests include more than 500 hours; substantially all participation; or more than 100 hours and at least as much as any other individual. These are alternatives, not interchangeable shortcuts. A contemporaneous activity log is a practical evidence habit. IRS Pub. 925.</x:v>
      </x:c>
    </x:row>
    <x:row r="60" ht="27" customHeight="1">
      <x:c r="A60" s="200" t="str">
        <x:v>Common tests include more than 500 hours; substantially all participation; or more than 100 hours and at least as much as any other individual. These are alternatives, not interchangeable shortcuts. A contemporaneous activity log is a practical evidence habit. IRS Pub. 925.</x:v>
      </x:c>
      <x:c r="B60" s="268" t="str">
        <x:v>Common tests include more than 500 hours; substantially all participation; or more than 100 hours and at least as much as any other individual. These are alternatives, not interchangeable shortcuts. A contemporaneous activity log is a practical evidence habit. IRS Pub. 925.</x:v>
      </x:c>
      <x:c r="C60" s="200" t="str">
        <x:v>Common tests include more than 500 hours; substantially all participation; or more than 100 hours and at least as much as any other individual. These are alternatives, not interchangeable shortcuts. A contemporaneous activity log is a practical evidence habit. IRS Pub. 925.</x:v>
      </x:c>
      <x:c r="D60" s="200" t="str">
        <x:v>Common tests include more than 500 hours; substantially all participation; or more than 100 hours and at least as much as any other individual. These are alternatives, not interchangeable shortcuts. A contemporaneous activity log is a practical evidence habit. IRS Pub. 925.</x:v>
      </x:c>
      <x:c r="E60" s="200" t="str">
        <x:v>Common tests include more than 500 hours; substantially all participation; or more than 100 hours and at least as much as any other individual. These are alternatives, not interchangeable shortcuts. A contemporaneous activity log is a practical evidence habit. IRS Pub. 925.</x:v>
      </x:c>
      <x:c r="F60" s="281" t="str">
        <x:v>Common tests include more than 500 hours; substantially all participation; or more than 100 hours and at least as much as any other individual. These are alternatives, not interchangeable shortcuts. A contemporaneous activity log is a practical evidence habit. IRS Pub. 925.</x:v>
      </x:c>
      <x:c r="G60" s="200" t="str">
        <x:v>Common tests include more than 500 hours; substantially all participation; or more than 100 hours and at least as much as any other individual. These are alternatives, not interchangeable shortcuts. A contemporaneous activity log is a practical evidence habit. IRS Pub. 925.</x:v>
      </x:c>
    </x:row>
    <x:row r="61" ht="27" customHeight="1">
      <x:c r="A61" s="200" t="str">
        <x:v>Common tests include more than 500 hours; substantially all participation; or more than 100 hours and at least as much as any other individual. These are alternatives, not interchangeable shortcuts. A contemporaneous activity log is a practical evidence habit. IRS Pub. 925.</x:v>
      </x:c>
      <x:c r="B61" s="268" t="str">
        <x:v>Common tests include more than 500 hours; substantially all participation; or more than 100 hours and at least as much as any other individual. These are alternatives, not interchangeable shortcuts. A contemporaneous activity log is a practical evidence habit. IRS Pub. 925.</x:v>
      </x:c>
      <x:c r="C61" s="200" t="str">
        <x:v>Common tests include more than 500 hours; substantially all participation; or more than 100 hours and at least as much as any other individual. These are alternatives, not interchangeable shortcuts. A contemporaneous activity log is a practical evidence habit. IRS Pub. 925.</x:v>
      </x:c>
      <x:c r="D61" s="200" t="str">
        <x:v>Common tests include more than 500 hours; substantially all participation; or more than 100 hours and at least as much as any other individual. These are alternatives, not interchangeable shortcuts. A contemporaneous activity log is a practical evidence habit. IRS Pub. 925.</x:v>
      </x:c>
      <x:c r="E61" s="200" t="str">
        <x:v>Common tests include more than 500 hours; substantially all participation; or more than 100 hours and at least as much as any other individual. These are alternatives, not interchangeable shortcuts. A contemporaneous activity log is a practical evidence habit. IRS Pub. 925.</x:v>
      </x:c>
      <x:c r="F61" s="281" t="str">
        <x:v>Common tests include more than 500 hours; substantially all participation; or more than 100 hours and at least as much as any other individual. These are alternatives, not interchangeable shortcuts. A contemporaneous activity log is a practical evidence habit. IRS Pub. 925.</x:v>
      </x:c>
      <x:c r="G61" s="200" t="str">
        <x:v>Common tests include more than 500 hours; substantially all participation; or more than 100 hours and at least as much as any other individual. These are alternatives, not interchangeable shortcuts. A contemporaneous activity log is a practical evidence habit. IRS Pub. 925.</x:v>
      </x:c>
    </x:row>
    <x:row r="62" ht="27" customHeight="1">
      <x:c r="A62" s="200"/>
      <x:c r="B62" s="268"/>
      <x:c r="C62" s="200"/>
      <x:c r="D62" s="200"/>
      <x:c r="E62" s="200"/>
      <x:c r="F62" s="281"/>
      <x:c r="G62" s="200"/>
    </x:row>
    <x:row r="63" ht="27" customHeight="1">
      <x:c r="A63" s="199" t="str">
        <x:v>Current bonus rule and scope.</x:v>
      </x:c>
      <x:c r="B63" s="269" t="str">
        <x:v>Current bonus rule and scope.</x:v>
      </x:c>
      <x:c r="C63" s="199" t="str">
        <x:v>Current bonus rule and scope.</x:v>
      </x:c>
      <x:c r="D63" s="199" t="str">
        <x:v>Current bonus rule and scope.</x:v>
      </x:c>
      <x:c r="E63" s="199" t="str">
        <x:v>Current bonus rule and scope.</x:v>
      </x:c>
      <x:c r="F63" s="282" t="str">
        <x:v>Current bonus rule and scope.</x:v>
      </x:c>
      <x:c r="G63" s="199" t="str">
        <x:v>Current bonus rule and scope.</x:v>
      </x:c>
    </x:row>
    <x:row r="64" ht="27" customHeight="1">
      <x:c r="A64" s="200" t="str">
        <x:v>IRS Notice 2026-11 addresses permanent 100% bonus for qualified property acquired and placed in service after January 19, 2025. Binding-contract rules, asset eligibility, related-party issues, elections and acquisition timing matter. Buildings and land are not wholly eligible simply because a property is an STR.</x:v>
      </x:c>
      <x:c r="B64" s="268" t="str">
        <x:v>IRS Notice 2026-11 addresses permanent 100% bonus for qualified property acquired and placed in service after January 19, 2025. Binding-contract rules, asset eligibility, related-party issues, elections and acquisition timing matter. Buildings and land are not wholly eligible simply because a property is an STR.</x:v>
      </x:c>
      <x:c r="C64" s="200" t="str">
        <x:v>IRS Notice 2026-11 addresses permanent 100% bonus for qualified property acquired and placed in service after January 19, 2025. Binding-contract rules, asset eligibility, related-party issues, elections and acquisition timing matter. Buildings and land are not wholly eligible simply because a property is an STR.</x:v>
      </x:c>
      <x:c r="D64" s="200" t="str">
        <x:v>IRS Notice 2026-11 addresses permanent 100% bonus for qualified property acquired and placed in service after January 19, 2025. Binding-contract rules, asset eligibility, related-party issues, elections and acquisition timing matter. Buildings and land are not wholly eligible simply because a property is an STR.</x:v>
      </x:c>
      <x:c r="E64" s="200" t="str">
        <x:v>IRS Notice 2026-11 addresses permanent 100% bonus for qualified property acquired and placed in service after January 19, 2025. Binding-contract rules, asset eligibility, related-party issues, elections and acquisition timing matter. Buildings and land are not wholly eligible simply because a property is an STR.</x:v>
      </x:c>
      <x:c r="F64" s="281" t="str">
        <x:v>IRS Notice 2026-11 addresses permanent 100% bonus for qualified property acquired and placed in service after January 19, 2025. Binding-contract rules, asset eligibility, related-party issues, elections and acquisition timing matter. Buildings and land are not wholly eligible simply because a property is an STR.</x:v>
      </x:c>
      <x:c r="G64" s="200" t="str">
        <x:v>IRS Notice 2026-11 addresses permanent 100% bonus for qualified property acquired and placed in service after January 19, 2025. Binding-contract rules, asset eligibility, related-party issues, elections and acquisition timing matter. Buildings and land are not wholly eligible simply because a property is an STR.</x:v>
      </x:c>
    </x:row>
    <x:row r="65" ht="27" customHeight="1">
      <x:c r="A65" s="200" t="str">
        <x:v>IRS Notice 2026-11 addresses permanent 100% bonus for qualified property acquired and placed in service after January 19, 2025. Binding-contract rules, asset eligibility, related-party issues, elections and acquisition timing matter. Buildings and land are not wholly eligible simply because a property is an STR.</x:v>
      </x:c>
      <x:c r="B65" s="268" t="str">
        <x:v>IRS Notice 2026-11 addresses permanent 100% bonus for qualified property acquired and placed in service after January 19, 2025. Binding-contract rules, asset eligibility, related-party issues, elections and acquisition timing matter. Buildings and land are not wholly eligible simply because a property is an STR.</x:v>
      </x:c>
      <x:c r="C65" s="200" t="str">
        <x:v>IRS Notice 2026-11 addresses permanent 100% bonus for qualified property acquired and placed in service after January 19, 2025. Binding-contract rules, asset eligibility, related-party issues, elections and acquisition timing matter. Buildings and land are not wholly eligible simply because a property is an STR.</x:v>
      </x:c>
      <x:c r="D65" s="200" t="str">
        <x:v>IRS Notice 2026-11 addresses permanent 100% bonus for qualified property acquired and placed in service after January 19, 2025. Binding-contract rules, asset eligibility, related-party issues, elections and acquisition timing matter. Buildings and land are not wholly eligible simply because a property is an STR.</x:v>
      </x:c>
      <x:c r="E65" s="200" t="str">
        <x:v>IRS Notice 2026-11 addresses permanent 100% bonus for qualified property acquired and placed in service after January 19, 2025. Binding-contract rules, asset eligibility, related-party issues, elections and acquisition timing matter. Buildings and land are not wholly eligible simply because a property is an STR.</x:v>
      </x:c>
      <x:c r="F65" s="281" t="str">
        <x:v>IRS Notice 2026-11 addresses permanent 100% bonus for qualified property acquired and placed in service after January 19, 2025. Binding-contract rules, asset eligibility, related-party issues, elections and acquisition timing matter. Buildings and land are not wholly eligible simply because a property is an STR.</x:v>
      </x:c>
      <x:c r="G65" s="200" t="str">
        <x:v>IRS Notice 2026-11 addresses permanent 100% bonus for qualified property acquired and placed in service after January 19, 2025. Binding-contract rules, asset eligibility, related-party issues, elections and acquisition timing matter. Buildings and land are not wholly eligible simply because a property is an STR.</x:v>
      </x:c>
    </x:row>
    <x:row r="66" ht="27" customHeight="1">
      <x:c r="A66" s="200" t="str">
        <x:v>IRS Notice 2026-11 addresses permanent 100% bonus for qualified property acquired and placed in service after January 19, 2025. Binding-contract rules, asset eligibility, related-party issues, elections and acquisition timing matter. Buildings and land are not wholly eligible simply because a property is an STR.</x:v>
      </x:c>
      <x:c r="B66" s="268" t="str">
        <x:v>IRS Notice 2026-11 addresses permanent 100% bonus for qualified property acquired and placed in service after January 19, 2025. Binding-contract rules, asset eligibility, related-party issues, elections and acquisition timing matter. Buildings and land are not wholly eligible simply because a property is an STR.</x:v>
      </x:c>
      <x:c r="C66" s="200" t="str">
        <x:v>IRS Notice 2026-11 addresses permanent 100% bonus for qualified property acquired and placed in service after January 19, 2025. Binding-contract rules, asset eligibility, related-party issues, elections and acquisition timing matter. Buildings and land are not wholly eligible simply because a property is an STR.</x:v>
      </x:c>
      <x:c r="D66" s="200" t="str">
        <x:v>IRS Notice 2026-11 addresses permanent 100% bonus for qualified property acquired and placed in service after January 19, 2025. Binding-contract rules, asset eligibility, related-party issues, elections and acquisition timing matter. Buildings and land are not wholly eligible simply because a property is an STR.</x:v>
      </x:c>
      <x:c r="E66" s="200" t="str">
        <x:v>IRS Notice 2026-11 addresses permanent 100% bonus for qualified property acquired and placed in service after January 19, 2025. Binding-contract rules, asset eligibility, related-party issues, elections and acquisition timing matter. Buildings and land are not wholly eligible simply because a property is an STR.</x:v>
      </x:c>
      <x:c r="F66" s="281" t="str">
        <x:v>IRS Notice 2026-11 addresses permanent 100% bonus for qualified property acquired and placed in service after January 19, 2025. Binding-contract rules, asset eligibility, related-party issues, elections and acquisition timing matter. Buildings and land are not wholly eligible simply because a property is an STR.</x:v>
      </x:c>
      <x:c r="G66" s="200" t="str">
        <x:v>IRS Notice 2026-11 addresses permanent 100% bonus for qualified property acquired and placed in service after January 19, 2025. Binding-contract rules, asset eligibility, related-party issues, elections and acquisition timing matter. Buildings and land are not wholly eligible simply because a property is an STR.</x:v>
      </x:c>
    </x:row>
    <x:row r="67" ht="27" customHeight="1">
      <x:c r="A67" s="200"/>
      <x:c r="B67" s="268"/>
      <x:c r="C67" s="200"/>
      <x:c r="D67" s="200"/>
      <x:c r="E67" s="200"/>
      <x:c r="F67" s="281"/>
      <x:c r="G67" s="200"/>
    </x:row>
    <x:row r="68" ht="27" customHeight="1">
      <x:c r="A68" s="199" t="str">
        <x:v>Conventions and personal use.</x:v>
      </x:c>
      <x:c r="B68" s="269" t="str">
        <x:v>Conventions and personal use.</x:v>
      </x:c>
      <x:c r="C68" s="199" t="str">
        <x:v>Conventions and personal use.</x:v>
      </x:c>
      <x:c r="D68" s="199" t="str">
        <x:v>Conventions and personal use.</x:v>
      </x:c>
      <x:c r="E68" s="199" t="str">
        <x:v>Conventions and personal use.</x:v>
      </x:c>
      <x:c r="F68" s="282" t="str">
        <x:v>Conventions and personal use.</x:v>
      </x:c>
      <x:c r="G68" s="199" t="str">
        <x:v>Conventions and personal use.</x:v>
      </x:c>
    </x:row>
    <x:row r="69" ht="27" customHeight="1">
      <x:c r="A69" s="200" t="str">
        <x:v>This model assumes 100% business use and illustrative GDS rates. Mid-quarter, ADS, personal/vacation use, carryover basis, prior depreciation and changes of use need separate calculations. Tax-year operating income is only a prorated proxy; use actual books for a return.</x:v>
      </x:c>
      <x:c r="B69" s="268" t="str">
        <x:v>This model assumes 100% business use and illustrative GDS rates. Mid-quarter, ADS, personal/vacation use, carryover basis, prior depreciation and changes of use need separate calculations. Tax-year operating income is only a prorated proxy; use actual books for a return.</x:v>
      </x:c>
      <x:c r="C69" s="200" t="str">
        <x:v>This model assumes 100% business use and illustrative GDS rates. Mid-quarter, ADS, personal/vacation use, carryover basis, prior depreciation and changes of use need separate calculations. Tax-year operating income is only a prorated proxy; use actual books for a return.</x:v>
      </x:c>
      <x:c r="D69" s="200" t="str">
        <x:v>This model assumes 100% business use and illustrative GDS rates. Mid-quarter, ADS, personal/vacation use, carryover basis, prior depreciation and changes of use need separate calculations. Tax-year operating income is only a prorated proxy; use actual books for a return.</x:v>
      </x:c>
      <x:c r="E69" s="200" t="str">
        <x:v>This model assumes 100% business use and illustrative GDS rates. Mid-quarter, ADS, personal/vacation use, carryover basis, prior depreciation and changes of use need separate calculations. Tax-year operating income is only a prorated proxy; use actual books for a return.</x:v>
      </x:c>
      <x:c r="F69" s="281" t="str">
        <x:v>This model assumes 100% business use and illustrative GDS rates. Mid-quarter, ADS, personal/vacation use, carryover basis, prior depreciation and changes of use need separate calculations. Tax-year operating income is only a prorated proxy; use actual books for a return.</x:v>
      </x:c>
      <x:c r="G69" s="200" t="str">
        <x:v>This model assumes 100% business use and illustrative GDS rates. Mid-quarter, ADS, personal/vacation use, carryover basis, prior depreciation and changes of use need separate calculations. Tax-year operating income is only a prorated proxy; use actual books for a return.</x:v>
      </x:c>
    </x:row>
    <x:row r="70" ht="27" customHeight="1">
      <x:c r="A70" s="200" t="str">
        <x:v>This model assumes 100% business use and illustrative GDS rates. Mid-quarter, ADS, personal/vacation use, carryover basis, prior depreciation and changes of use need separate calculations. Tax-year operating income is only a prorated proxy; use actual books for a return.</x:v>
      </x:c>
      <x:c r="B70" s="268" t="str">
        <x:v>This model assumes 100% business use and illustrative GDS rates. Mid-quarter, ADS, personal/vacation use, carryover basis, prior depreciation and changes of use need separate calculations. Tax-year operating income is only a prorated proxy; use actual books for a return.</x:v>
      </x:c>
      <x:c r="C70" s="200" t="str">
        <x:v>This model assumes 100% business use and illustrative GDS rates. Mid-quarter, ADS, personal/vacation use, carryover basis, prior depreciation and changes of use need separate calculations. Tax-year operating income is only a prorated proxy; use actual books for a return.</x:v>
      </x:c>
      <x:c r="D70" s="200" t="str">
        <x:v>This model assumes 100% business use and illustrative GDS rates. Mid-quarter, ADS, personal/vacation use, carryover basis, prior depreciation and changes of use need separate calculations. Tax-year operating income is only a prorated proxy; use actual books for a return.</x:v>
      </x:c>
      <x:c r="E70" s="200" t="str">
        <x:v>This model assumes 100% business use and illustrative GDS rates. Mid-quarter, ADS, personal/vacation use, carryover basis, prior depreciation and changes of use need separate calculations. Tax-year operating income is only a prorated proxy; use actual books for a return.</x:v>
      </x:c>
      <x:c r="F70" s="281" t="str">
        <x:v>This model assumes 100% business use and illustrative GDS rates. Mid-quarter, ADS, personal/vacation use, carryover basis, prior depreciation and changes of use need separate calculations. Tax-year operating income is only a prorated proxy; use actual books for a return.</x:v>
      </x:c>
      <x:c r="G70" s="200" t="str">
        <x:v>This model assumes 100% business use and illustrative GDS rates. Mid-quarter, ADS, personal/vacation use, carryover basis, prior depreciation and changes of use need separate calculations. Tax-year operating income is only a prorated proxy; use actual books for a return.</x:v>
      </x:c>
    </x:row>
    <x:row r="71" ht="27" customHeight="1">
      <x:c r="A71" s="200" t="str">
        <x:v>This model assumes 100% business use and illustrative GDS rates. Mid-quarter, ADS, personal/vacation use, carryover basis, prior depreciation and changes of use need separate calculations. Tax-year operating income is only a prorated proxy; use actual books for a return.</x:v>
      </x:c>
      <x:c r="B71" s="268" t="str">
        <x:v>This model assumes 100% business use and illustrative GDS rates. Mid-quarter, ADS, personal/vacation use, carryover basis, prior depreciation and changes of use need separate calculations. Tax-year operating income is only a prorated proxy; use actual books for a return.</x:v>
      </x:c>
      <x:c r="C71" s="200" t="str">
        <x:v>This model assumes 100% business use and illustrative GDS rates. Mid-quarter, ADS, personal/vacation use, carryover basis, prior depreciation and changes of use need separate calculations. Tax-year operating income is only a prorated proxy; use actual books for a return.</x:v>
      </x:c>
      <x:c r="D71" s="200" t="str">
        <x:v>This model assumes 100% business use and illustrative GDS rates. Mid-quarter, ADS, personal/vacation use, carryover basis, prior depreciation and changes of use need separate calculations. Tax-year operating income is only a prorated proxy; use actual books for a return.</x:v>
      </x:c>
      <x:c r="E71" s="200" t="str">
        <x:v>This model assumes 100% business use and illustrative GDS rates. Mid-quarter, ADS, personal/vacation use, carryover basis, prior depreciation and changes of use need separate calculations. Tax-year operating income is only a prorated proxy; use actual books for a return.</x:v>
      </x:c>
      <x:c r="F71" s="281" t="str">
        <x:v>This model assumes 100% business use and illustrative GDS rates. Mid-quarter, ADS, personal/vacation use, carryover basis, prior depreciation and changes of use need separate calculations. Tax-year operating income is only a prorated proxy; use actual books for a return.</x:v>
      </x:c>
      <x:c r="G71" s="200" t="str">
        <x:v>This model assumes 100% business use and illustrative GDS rates. Mid-quarter, ADS, personal/vacation use, carryover basis, prior depreciation and changes of use need separate calculations. Tax-year operating income is only a prorated proxy; use actual books for a return.</x:v>
      </x:c>
    </x:row>
    <x:row r="72" ht="27" customHeight="1">
      <x:c r="A72" s="200"/>
      <x:c r="B72" s="268"/>
      <x:c r="C72" s="200"/>
      <x:c r="D72" s="200"/>
      <x:c r="E72" s="200"/>
      <x:c r="F72" s="281"/>
      <x:c r="G72" s="200"/>
    </x:row>
    <x:row r="73" ht="27" customHeight="1">
      <x:c r="A73" s="199" t="str">
        <x:v>Economic caveats.</x:v>
      </x:c>
      <x:c r="B73" s="269" t="str">
        <x:v>Economic caveats.</x:v>
      </x:c>
      <x:c r="C73" s="199" t="str">
        <x:v>Economic caveats.</x:v>
      </x:c>
      <x:c r="D73" s="199" t="str">
        <x:v>Economic caveats.</x:v>
      </x:c>
      <x:c r="E73" s="199" t="str">
        <x:v>Economic caveats.</x:v>
      </x:c>
      <x:c r="F73" s="282" t="str">
        <x:v>Economic caveats.</x:v>
      </x:c>
      <x:c r="G73" s="199" t="str">
        <x:v>Economic caveats.</x:v>
      </x:c>
    </x:row>
    <x:row r="74" ht="27" customHeight="1">
      <x:c r="A74" s="200" t="str">
        <x:v>Basis, at-risk, passive-activity and excess-business-loss rules can defer or deny current benefits. State law can differ. Depreciation reduces basis and may create recapture on sale. No SALT interaction, NIIT, self-employment tax, credits, phaseouts, AMT or future sale taxes are modeled. A tax benefit cannot make an illegal STR permissible.</x:v>
      </x:c>
      <x:c r="B74" s="268" t="str">
        <x:v>Basis, at-risk, passive-activity and excess-business-loss rules can defer or deny current benefits. State law can differ. Depreciation reduces basis and may create recapture on sale. No SALT interaction, NIIT, self-employment tax, credits, phaseouts, AMT or future sale taxes are modeled. A tax benefit cannot make an illegal STR permissible.</x:v>
      </x:c>
      <x:c r="C74" s="200" t="str">
        <x:v>Basis, at-risk, passive-activity and excess-business-loss rules can defer or deny current benefits. State law can differ. Depreciation reduces basis and may create recapture on sale. No SALT interaction, NIIT, self-employment tax, credits, phaseouts, AMT or future sale taxes are modeled. A tax benefit cannot make an illegal STR permissible.</x:v>
      </x:c>
      <x:c r="D74" s="200" t="str">
        <x:v>Basis, at-risk, passive-activity and excess-business-loss rules can defer or deny current benefits. State law can differ. Depreciation reduces basis and may create recapture on sale. No SALT interaction, NIIT, self-employment tax, credits, phaseouts, AMT or future sale taxes are modeled. A tax benefit cannot make an illegal STR permissible.</x:v>
      </x:c>
      <x:c r="E74" s="200" t="str">
        <x:v>Basis, at-risk, passive-activity and excess-business-loss rules can defer or deny current benefits. State law can differ. Depreciation reduces basis and may create recapture on sale. No SALT interaction, NIIT, self-employment tax, credits, phaseouts, AMT or future sale taxes are modeled. A tax benefit cannot make an illegal STR permissible.</x:v>
      </x:c>
      <x:c r="F74" s="281" t="str">
        <x:v>Basis, at-risk, passive-activity and excess-business-loss rules can defer or deny current benefits. State law can differ. Depreciation reduces basis and may create recapture on sale. No SALT interaction, NIIT, self-employment tax, credits, phaseouts, AMT or future sale taxes are modeled. A tax benefit cannot make an illegal STR permissible.</x:v>
      </x:c>
      <x:c r="G74" s="200" t="str">
        <x:v>Basis, at-risk, passive-activity and excess-business-loss rules can defer or deny current benefits. State law can differ. Depreciation reduces basis and may create recapture on sale. No SALT interaction, NIIT, self-employment tax, credits, phaseouts, AMT or future sale taxes are modeled. A tax benefit cannot make an illegal STR permissible.</x:v>
      </x:c>
    </x:row>
    <x:row r="75" ht="27" customHeight="1">
      <x:c r="A75" s="200" t="str">
        <x:v>Basis, at-risk, passive-activity and excess-business-loss rules can defer or deny current benefits. State law can differ. Depreciation reduces basis and may create recapture on sale. No SALT interaction, NIIT, self-employment tax, credits, phaseouts, AMT or future sale taxes are modeled. A tax benefit cannot make an illegal STR permissible.</x:v>
      </x:c>
      <x:c r="B75" s="268" t="str">
        <x:v>Basis, at-risk, passive-activity and excess-business-loss rules can defer or deny current benefits. State law can differ. Depreciation reduces basis and may create recapture on sale. No SALT interaction, NIIT, self-employment tax, credits, phaseouts, AMT or future sale taxes are modeled. A tax benefit cannot make an illegal STR permissible.</x:v>
      </x:c>
      <x:c r="C75" s="200" t="str">
        <x:v>Basis, at-risk, passive-activity and excess-business-loss rules can defer or deny current benefits. State law can differ. Depreciation reduces basis and may create recapture on sale. No SALT interaction, NIIT, self-employment tax, credits, phaseouts, AMT or future sale taxes are modeled. A tax benefit cannot make an illegal STR permissible.</x:v>
      </x:c>
      <x:c r="D75" s="200" t="str">
        <x:v>Basis, at-risk, passive-activity and excess-business-loss rules can defer or deny current benefits. State law can differ. Depreciation reduces basis and may create recapture on sale. No SALT interaction, NIIT, self-employment tax, credits, phaseouts, AMT or future sale taxes are modeled. A tax benefit cannot make an illegal STR permissible.</x:v>
      </x:c>
      <x:c r="E75" s="200" t="str">
        <x:v>Basis, at-risk, passive-activity and excess-business-loss rules can defer or deny current benefits. State law can differ. Depreciation reduces basis and may create recapture on sale. No SALT interaction, NIIT, self-employment tax, credits, phaseouts, AMT or future sale taxes are modeled. A tax benefit cannot make an illegal STR permissible.</x:v>
      </x:c>
      <x:c r="F75" s="281" t="str">
        <x:v>Basis, at-risk, passive-activity and excess-business-loss rules can defer or deny current benefits. State law can differ. Depreciation reduces basis and may create recapture on sale. No SALT interaction, NIIT, self-employment tax, credits, phaseouts, AMT or future sale taxes are modeled. A tax benefit cannot make an illegal STR permissible.</x:v>
      </x:c>
      <x:c r="G75" s="200" t="str">
        <x:v>Basis, at-risk, passive-activity and excess-business-loss rules can defer or deny current benefits. State law can differ. Depreciation reduces basis and may create recapture on sale. No SALT interaction, NIIT, self-employment tax, credits, phaseouts, AMT or future sale taxes are modeled. A tax benefit cannot make an illegal STR permissible.</x:v>
      </x:c>
    </x:row>
    <x:row r="76" ht="27" customHeight="1">
      <x:c r="A76" s="200" t="str">
        <x:v>Basis, at-risk, passive-activity and excess-business-loss rules can defer or deny current benefits. State law can differ. Depreciation reduces basis and may create recapture on sale. No SALT interaction, NIIT, self-employment tax, credits, phaseouts, AMT or future sale taxes are modeled. A tax benefit cannot make an illegal STR permissible.</x:v>
      </x:c>
      <x:c r="B76" s="268" t="str">
        <x:v>Basis, at-risk, passive-activity and excess-business-loss rules can defer or deny current benefits. State law can differ. Depreciation reduces basis and may create recapture on sale. No SALT interaction, NIIT, self-employment tax, credits, phaseouts, AMT or future sale taxes are modeled. A tax benefit cannot make an illegal STR permissible.</x:v>
      </x:c>
      <x:c r="C76" s="200" t="str">
        <x:v>Basis, at-risk, passive-activity and excess-business-loss rules can defer or deny current benefits. State law can differ. Depreciation reduces basis and may create recapture on sale. No SALT interaction, NIIT, self-employment tax, credits, phaseouts, AMT or future sale taxes are modeled. A tax benefit cannot make an illegal STR permissible.</x:v>
      </x:c>
      <x:c r="D76" s="200" t="str">
        <x:v>Basis, at-risk, passive-activity and excess-business-loss rules can defer or deny current benefits. State law can differ. Depreciation reduces basis and may create recapture on sale. No SALT interaction, NIIT, self-employment tax, credits, phaseouts, AMT or future sale taxes are modeled. A tax benefit cannot make an illegal STR permissible.</x:v>
      </x:c>
      <x:c r="E76" s="200" t="str">
        <x:v>Basis, at-risk, passive-activity and excess-business-loss rules can defer or deny current benefits. State law can differ. Depreciation reduces basis and may create recapture on sale. No SALT interaction, NIIT, self-employment tax, credits, phaseouts, AMT or future sale taxes are modeled. A tax benefit cannot make an illegal STR permissible.</x:v>
      </x:c>
      <x:c r="F76" s="281" t="str">
        <x:v>Basis, at-risk, passive-activity and excess-business-loss rules can defer or deny current benefits. State law can differ. Depreciation reduces basis and may create recapture on sale. No SALT interaction, NIIT, self-employment tax, credits, phaseouts, AMT or future sale taxes are modeled. A tax benefit cannot make an illegal STR permissible.</x:v>
      </x:c>
      <x:c r="G76" s="200" t="str">
        <x:v>Basis, at-risk, passive-activity and excess-business-loss rules can defer or deny current benefits. State law can differ. Depreciation reduces basis and may create recapture on sale. No SALT interaction, NIIT, self-employment tax, credits, phaseouts, AMT or future sale taxes are modeled. A tax benefit cannot make an illegal STR permissible.</x:v>
      </x:c>
    </x:row>
    <x:row r="77" ht="27" customHeight="1">
      <x:c r="A77" s="6"/>
      <x:c r="B77" s="6"/>
      <x:c r="C77" s="6"/>
      <x:c r="D77" s="6"/>
      <x:c r="E77" s="6"/>
      <x:c r="F77" s="6"/>
      <x:c r="G77" s="6"/>
    </x:row>
    <x:row r="78" ht="27" customHeight="1">
      <x:c r="A78" s="6"/>
      <x:c r="B78" s="6"/>
      <x:c r="C78" s="6"/>
      <x:c r="D78" s="6"/>
      <x:c r="E78" s="6"/>
      <x:c r="F78" s="6"/>
      <x:c r="G78" s="6"/>
    </x:row>
    <x:row r="79" ht="27" customHeight="1">
      <x:c r="A79" s="6"/>
      <x:c r="B79" s="6"/>
      <x:c r="C79" s="6"/>
      <x:c r="D79" s="6"/>
      <x:c r="E79" s="6"/>
      <x:c r="F79" s="6"/>
      <x:c r="G79" s="6"/>
    </x:row>
    <x:row r="80" ht="27" customHeight="1">
      <x:c r="A80" s="6"/>
      <x:c r="B80" s="6"/>
      <x:c r="C80" s="6"/>
      <x:c r="D80" s="6"/>
      <x:c r="E80" s="6"/>
      <x:c r="F80" s="6"/>
      <x:c r="G80" s="6"/>
    </x:row>
    <x:row r="81" ht="27" customHeight="1">
      <x:c r="A81" s="6"/>
      <x:c r="B81" s="6"/>
      <x:c r="C81" s="6"/>
      <x:c r="D81" s="6"/>
      <x:c r="E81" s="6"/>
      <x:c r="F81" s="6"/>
      <x:c r="G81" s="6"/>
    </x:row>
    <x:row r="82" ht="27" customHeight="1">
      <x:c r="A82" s="6"/>
      <x:c r="B82" s="6"/>
      <x:c r="C82" s="6"/>
      <x:c r="D82" s="6"/>
      <x:c r="E82" s="6"/>
      <x:c r="F82" s="6"/>
      <x:c r="G82" s="6"/>
    </x:row>
    <x:row r="83" ht="27" customHeight="1">
      <x:c r="A83" s="6"/>
      <x:c r="B83" s="6"/>
      <x:c r="C83" s="6"/>
      <x:c r="D83" s="6"/>
      <x:c r="E83" s="6"/>
      <x:c r="F83" s="6"/>
      <x:c r="G83" s="6"/>
    </x:row>
    <x:row r="84" ht="27" customHeight="1">
      <x:c r="A84" s="6"/>
      <x:c r="B84" s="6"/>
      <x:c r="C84" s="6"/>
      <x:c r="D84" s="6"/>
      <x:c r="E84" s="6"/>
      <x:c r="F84" s="6"/>
      <x:c r="G84" s="6"/>
    </x:row>
    <x:row r="85" ht="27" customHeight="1">
      <x:c r="A85" s="6"/>
      <x:c r="B85" s="6"/>
      <x:c r="C85" s="6"/>
      <x:c r="D85" s="6"/>
      <x:c r="E85" s="6"/>
      <x:c r="F85" s="6"/>
      <x:c r="G85" s="6"/>
    </x:row>
    <x:row r="86" ht="27" customHeight="1">
      <x:c r="A86" s="6"/>
      <x:c r="B86" s="6"/>
      <x:c r="C86" s="6"/>
      <x:c r="D86" s="6"/>
      <x:c r="E86" s="6"/>
      <x:c r="F86" s="6"/>
      <x:c r="G86" s="6"/>
    </x:row>
    <x:row r="87" ht="27" customHeight="1">
      <x:c r="A87" s="6"/>
      <x:c r="B87" s="6"/>
      <x:c r="C87" s="6"/>
      <x:c r="D87" s="6"/>
      <x:c r="E87" s="6"/>
      <x:c r="F87" s="6"/>
      <x:c r="G87" s="6"/>
    </x:row>
    <x:row r="88" ht="27" customHeight="1">
      <x:c r="A88" s="6"/>
      <x:c r="B88" s="6"/>
      <x:c r="C88" s="6"/>
      <x:c r="D88" s="6"/>
      <x:c r="E88" s="6"/>
      <x:c r="F88" s="6"/>
      <x:c r="G88" s="6"/>
    </x:row>
    <x:row r="89" ht="27" customHeight="1">
      <x:c r="A89" s="6"/>
      <x:c r="B89" s="6"/>
      <x:c r="C89" s="6"/>
      <x:c r="D89" s="6"/>
      <x:c r="E89" s="6"/>
      <x:c r="F89" s="6"/>
      <x:c r="G89" s="6"/>
    </x:row>
    <x:row r="90" ht="27" customHeight="1">
      <x:c r="A90" s="6"/>
      <x:c r="B90" s="6"/>
      <x:c r="C90" s="6"/>
      <x:c r="D90" s="6"/>
      <x:c r="E90" s="6"/>
      <x:c r="F90" s="6"/>
      <x:c r="G90" s="6"/>
    </x:row>
    <x:row r="91" ht="27" customHeight="1">
      <x:c r="A91" s="6"/>
      <x:c r="B91" s="6"/>
      <x:c r="C91" s="6"/>
      <x:c r="D91" s="6"/>
      <x:c r="E91" s="6"/>
      <x:c r="F91" s="6"/>
      <x:c r="G91" s="6"/>
    </x:row>
    <x:row r="92" ht="27" customHeight="1">
      <x:c r="A92" s="6"/>
      <x:c r="B92" s="6"/>
      <x:c r="C92" s="6"/>
      <x:c r="D92" s="6"/>
      <x:c r="E92" s="6"/>
      <x:c r="F92" s="6"/>
      <x:c r="G92" s="6"/>
    </x:row>
    <x:row r="93" ht="27" customHeight="1">
      <x:c r="A93" s="6"/>
      <x:c r="B93" s="6"/>
      <x:c r="C93" s="6"/>
      <x:c r="D93" s="6"/>
      <x:c r="E93" s="6"/>
      <x:c r="F93" s="6"/>
      <x:c r="G93" s="6"/>
    </x:row>
    <x:row r="94" ht="27" customHeight="1">
      <x:c r="A94" s="6"/>
      <x:c r="B94" s="6"/>
      <x:c r="C94" s="6"/>
      <x:c r="D94" s="6"/>
      <x:c r="E94" s="6"/>
      <x:c r="F94" s="6"/>
      <x:c r="G94" s="6"/>
    </x:row>
    <x:row r="95" ht="27" customHeight="1">
      <x:c r="A95" s="6"/>
      <x:c r="B95" s="6"/>
      <x:c r="C95" s="6"/>
      <x:c r="D95" s="6"/>
      <x:c r="E95" s="6"/>
      <x:c r="F95" s="6"/>
      <x:c r="G95" s="6"/>
    </x:row>
  </x:sheetData>
  <x:mergeCells>
    <x:mergeCell ref="A1:G2"/>
    <x:mergeCell ref="A3:G4"/>
    <x:mergeCell ref="A12:C12"/>
    <x:mergeCell ref="A44:C44"/>
    <x:mergeCell ref="E12:G12"/>
    <x:mergeCell ref="A6:C8"/>
    <x:mergeCell ref="E6:G8"/>
    <x:mergeCell ref="A10:G10"/>
    <x:mergeCell ref="A53:G53"/>
    <x:mergeCell ref="A54:G56"/>
    <x:mergeCell ref="A58:G58"/>
    <x:mergeCell ref="A59:G61"/>
    <x:mergeCell ref="A63:G63"/>
    <x:mergeCell ref="A64:G66"/>
    <x:mergeCell ref="A68:G68"/>
    <x:mergeCell ref="A69:G71"/>
    <x:mergeCell ref="A73:G73"/>
    <x:mergeCell ref="A74:G76"/>
  </x:mergeCells>
  <x:dataValidations count="29">
    <x:dataValidation type="decimal" operator="between" sqref="B13">
      <x:formula1>0</x:formula1>
      <x:formula2>1000000000</x:formula2>
    </x:dataValidation>
    <x:dataValidation type="decimal" operator="between" sqref="B14">
      <x:formula1>0</x:formula1>
      <x:formula2>1000000000</x:formula2>
    </x:dataValidation>
    <x:dataValidation type="decimal" operator="between" sqref="B18">
      <x:formula1>0</x:formula1>
      <x:formula2>1</x:formula2>
    </x:dataValidation>
    <x:dataValidation type="decimal" operator="between" sqref="B19">
      <x:formula1>0</x:formula1>
      <x:formula2>1000000000</x:formula2>
    </x:dataValidation>
    <x:dataValidation type="decimal" operator="between" sqref="B21">
      <x:formula1>-10000000</x:formula1>
      <x:formula2>10000000</x:formula2>
    </x:dataValidation>
    <x:dataValidation type="decimal" operator="between" sqref="B22">
      <x:formula1>0</x:formula1>
      <x:formula2>1</x:formula2>
    </x:dataValidation>
    <x:dataValidation type="decimal" operator="between" sqref="B24">
      <x:formula1>0</x:formula1>
      <x:formula2>1</x:formula2>
    </x:dataValidation>
    <x:dataValidation type="decimal" operator="between" sqref="B25">
      <x:formula1>0</x:formula1>
      <x:formula2>1</x:formula2>
    </x:dataValidation>
    <x:dataValidation type="decimal" operator="between" sqref="B26">
      <x:formula1>0</x:formula1>
      <x:formula2>1</x:formula2>
    </x:dataValidation>
    <x:dataValidation type="list" sqref="B27">
      <x:formula1>"27.5,39"</x:formula1>
    </x:dataValidation>
    <x:dataValidation type="list" sqref="B28">
      <x:formula1>"Unconfirmed,Yes,No"</x:formula1>
    </x:dataValidation>
    <x:dataValidation type="decimal" operator="between" sqref="B29">
      <x:formula1>0</x:formula1>
      <x:formula2>1</x:formula2>
    </x:dataValidation>
    <x:dataValidation type="list" sqref="B30">
      <x:formula1>"Unconfirmed,Yes,No"</x:formula1>
    </x:dataValidation>
    <x:dataValidation type="list" sqref="B32">
      <x:formula1>"Unconfirmed,Yes,No"</x:formula1>
    </x:dataValidation>
    <x:dataValidation type="decimal" operator="between" sqref="B33">
      <x:formula1>0</x:formula1>
      <x:formula2>1</x:formula2>
    </x:dataValidation>
    <x:dataValidation type="decimal" operator="between" sqref="B34">
      <x:formula1>0</x:formula1>
      <x:formula2>1</x:formula2>
    </x:dataValidation>
    <x:dataValidation type="list" sqref="B35">
      <x:formula1>"Unconfirmed,Yes,No"</x:formula1>
    </x:dataValidation>
    <x:dataValidation type="decimal" operator="between" sqref="B36">
      <x:formula1>0</x:formula1>
      <x:formula2>1000000000</x:formula2>
    </x:dataValidation>
    <x:dataValidation type="list" sqref="B37">
      <x:formula1>"Unconfirmed,Yes,No"</x:formula1>
    </x:dataValidation>
    <x:dataValidation type="list" sqref="B38">
      <x:formula1>"Unconfirmed,Yes,No"</x:formula1>
    </x:dataValidation>
    <x:dataValidation type="decimal" operator="between" sqref="B39">
      <x:formula1>0</x:formula1>
      <x:formula2>1000000000</x:formula2>
    </x:dataValidation>
    <x:dataValidation type="list" sqref="B40">
      <x:formula1>"Unconfirmed,Yes,No"</x:formula1>
    </x:dataValidation>
    <x:dataValidation type="decimal" operator="between" sqref="B41">
      <x:formula1>0</x:formula1>
      <x:formula2>1000000000</x:formula2>
    </x:dataValidation>
    <x:dataValidation type="decimal" operator="between" sqref="B42">
      <x:formula1>-10000000</x:formula1>
      <x:formula2>10000000</x:formula2>
    </x:dataValidation>
    <x:dataValidation type="decimal" operator="between" sqref="B45">
      <x:formula1>0</x:formula1>
      <x:formula2>1</x:formula2>
    </x:dataValidation>
    <x:dataValidation type="decimal" operator="between" sqref="B46">
      <x:formula1>0</x:formula1>
      <x:formula2>1</x:formula2>
    </x:dataValidation>
    <x:dataValidation type="decimal" operator="between" sqref="B47">
      <x:formula1>0</x:formula1>
      <x:formula2>1</x:formula2>
    </x:dataValidation>
    <x:dataValidation type="decimal" operator="between" sqref="B48">
      <x:formula1>0</x:formula1>
      <x:formula2>1</x:formula2>
    </x:dataValidation>
    <x:dataValidation type="list" sqref="B49">
      <x:formula1>"Half-year example,CPA custom rates,Review required"</x:formula1>
    </x:dataValidation>
  </x:dataValidations>
  <x:pageMargins left="0.7" right="0.7" top="0.75" bottom="0.75" header="0.3" footer="0.3"/>
  <x:legacyDrawing xmlns:r="http://schemas.openxmlformats.org/officeDocument/2006/relationships" r:id="Rd3011af2410749c2"/>
</x:worksheet>
</file>

<file path=xl/worksheets/sheet9.xml><?xml version="1.0" encoding="utf-8"?>
<x:worksheet xmlns:x="http://schemas.openxmlformats.org/spreadsheetml/2006/main">
  <x:sheetViews>
    <x:sheetView showGridLines="0" workbookViewId="0"/>
  </x:sheetViews>
  <x:sheetFormatPr defaultRowHeight="15"/>
  <x:cols>
    <x:col min="1" max="1" width="29" hidden="0" customWidth="1"/>
    <x:col min="2" max="2" width="43" hidden="0" customWidth="1"/>
    <x:col min="3" max="3" width="46" hidden="0" customWidth="1"/>
    <x:col min="4" max="4" width="52" hidden="0" customWidth="1"/>
  </x:cols>
  <x:sheetData>
    <x:row r="1" ht="28" customHeight="1">
      <x:c r="A1" s="202" t="str">
        <x:v>ASSUMPTIONS | Definitions + source register</x:v>
      </x:c>
      <x:c r="B1" s="202" t="str">
        <x:v>ASSUMPTIONS | Definitions + source register</x:v>
      </x:c>
      <x:c r="C1" s="202" t="str">
        <x:v>ASSUMPTIONS | Definitions + source register</x:v>
      </x:c>
      <x:c r="D1" s="202" t="str">
        <x:v>ASSUMPTIONS | Definitions + source register</x:v>
      </x:c>
    </x:row>
    <x:row r="2" ht="24" customHeight="1">
      <x:c r="A2" s="202" t="str">
        <x:v>ASSUMPTIONS | Definitions + source register</x:v>
      </x:c>
      <x:c r="B2" s="202" t="str">
        <x:v>ASSUMPTIONS | Definitions + source register</x:v>
      </x:c>
      <x:c r="C2" s="202" t="str">
        <x:v>ASSUMPTIONS | Definitions + source register</x:v>
      </x:c>
      <x:c r="D2" s="202" t="str">
        <x:v>ASSUMPTIONS | Definitions + source register</x:v>
      </x:c>
    </x:row>
    <x:row r="3" ht="50" customHeight="1">
      <x:c r="A3" s="203" t="str">
        <x:v>Thresholds, budgets, interest rate, growth rates, class allocations and tax rates are illustrative author assumptions unless a specific source is shown. No loan pricing or property-specific revenue is certified.</x:v>
      </x:c>
      <x:c r="B3" s="203" t="str">
        <x:v>Thresholds, budgets, interest rate, growth rates, class allocations and tax rates are illustrative author assumptions unless a specific source is shown. No loan pricing or property-specific revenue is certified.</x:v>
      </x:c>
      <x:c r="C3" s="203" t="str">
        <x:v>Thresholds, budgets, interest rate, growth rates, class allocations and tax rates are illustrative author assumptions unless a specific source is shown. No loan pricing or property-specific revenue is certified.</x:v>
      </x:c>
      <x:c r="D3" s="203" t="str">
        <x:v>Thresholds, budgets, interest rate, growth rates, class allocations and tax rates are illustrative author assumptions unless a specific source is shown. No loan pricing or property-specific revenue is certified.</x:v>
      </x:c>
    </x:row>
    <x:row r="4" ht="50" customHeight="1">
      <x:c r="A4" s="203" t="str">
        <x:v>Thresholds, budgets, interest rate, growth rates, class allocations and tax rates are illustrative author assumptions unless a specific source is shown. No loan pricing or property-specific revenue is certified.</x:v>
      </x:c>
      <x:c r="B4" s="203" t="str">
        <x:v>Thresholds, budgets, interest rate, growth rates, class allocations and tax rates are illustrative author assumptions unless a specific source is shown. No loan pricing or property-specific revenue is certified.</x:v>
      </x:c>
      <x:c r="C4" s="203" t="str">
        <x:v>Thresholds, budgets, interest rate, growth rates, class allocations and tax rates are illustrative author assumptions unless a specific source is shown. No loan pricing or property-specific revenue is certified.</x:v>
      </x:c>
      <x:c r="D4" s="203" t="str">
        <x:v>Thresholds, budgets, interest rate, growth rates, class allocations and tax rates are illustrative author assumptions unless a specific source is shown. No loan pricing or property-specific revenue is certified.</x:v>
      </x:c>
    </x:row>
    <x:row r="5" ht="50" customHeight="1">
      <x:c r="A5" s="200"/>
      <x:c r="B5" s="200"/>
      <x:c r="C5" s="200"/>
      <x:c r="D5" s="200"/>
    </x:row>
    <x:row r="6" ht="30" customHeight="1">
      <x:c r="A6" s="317" t="str">
        <x:v>Concept</x:v>
      </x:c>
      <x:c r="B6" s="317" t="str">
        <x:v>Formula / convention</x:v>
      </x:c>
      <x:c r="C6" s="317" t="str">
        <x:v>How to use it</x:v>
      </x:c>
      <x:c r="D6" s="317" t="str">
        <x:v>Primary source / provenance</x:v>
      </x:c>
    </x:row>
    <x:row r="7" ht="50" customHeight="1">
      <x:c r="A7" s="200" t="str">
        <x:v>Available nights</x:v>
      </x:c>
      <x:c r="B7" s="200" t="str">
        <x:v>Calendar nights offered for booking</x:v>
      </x:c>
      <x:c r="C7" s="200" t="str">
        <x:v>Exclude personal use, maintenance and blocked nights. Calendar is 365 days; adjust for leap-year analysis outside this template.</x:v>
      </x:c>
      <x:c r="D7" s="200" t="str">
        <x:v>Model convention</x:v>
      </x:c>
    </x:row>
    <x:row r="8" ht="50" customHeight="1">
      <x:c r="A8" s="200" t="str">
        <x:v>Occupancy</x:v>
      </x:c>
      <x:c r="B8" s="200" t="str">
        <x:v>Booked nights / available nights</x:v>
      </x:c>
      <x:c r="C8" s="200" t="str">
        <x:v>Do not compare an available-night occupancy with a calendar-night occupancy without reconciling denominators.</x:v>
      </x:c>
      <x:c r="D8" s="200" t="str">
        <x:v>https://www.airdna.co/vacation-rental-data/app/us/tennessee/gatlinburg/overview</x:v>
      </x:c>
    </x:row>
    <x:row r="9" ht="50" customHeight="1">
      <x:c r="A9" s="200" t="str">
        <x:v>ADR</x:v>
      </x:c>
      <x:c r="B9" s="200" t="str">
        <x:v>Room revenue / booked nights</x:v>
      </x:c>
      <x:c r="C9" s="200" t="str">
        <x:v>Room revenue excludes host guest fees in this calculator. Check vendor definitions before comparing.</x:v>
      </x:c>
      <x:c r="D9" s="200" t="str">
        <x:v>Model convention; provider definitions may differ</x:v>
      </x:c>
    </x:row>
    <x:row r="10" ht="50" customHeight="1">
      <x:c r="A10" s="200" t="str">
        <x:v>RevPAR</x:v>
      </x:c>
      <x:c r="B10" s="200" t="str">
        <x:v>ADR x occupancy (simple proxy)</x:v>
      </x:c>
      <x:c r="C10" s="200" t="str">
        <x:v>Vendor aggregate RevPAR may differ because of weighting or rounding. Never force reported annual revenue to equal RevPAR x 365.</x:v>
      </x:c>
      <x:c r="D10" s="200" t="str">
        <x:v>AirDNA public market pages; see companion market database</x:v>
      </x:c>
    </x:row>
    <x:row r="11" ht="50" customHeight="1">
      <x:c r="A11" s="200" t="str">
        <x:v>Expected stays</x:v>
      </x:c>
      <x:c r="B11" s="200" t="str">
        <x:v>Occupied nights / average length of stay</x:v>
      </x:c>
      <x:c r="C11" s="200" t="str">
        <x:v>Fractional expected stays are appropriate for annual planning; actual bookings are whole stays.</x:v>
      </x:c>
      <x:c r="D11" s="200" t="str">
        <x:v>Model convention</x:v>
      </x:c>
    </x:row>
    <x:row r="12" ht="50" customHeight="1">
      <x:c r="A12" s="200" t="str">
        <x:v>Gross booking revenue</x:v>
      </x:c>
      <x:c r="B12" s="200" t="str">
        <x:v>Room revenue + cleaning fees + other guest fees</x:v>
      </x:c>
      <x:c r="C12" s="200" t="str">
        <x:v>Excludes pass-through lodging taxes and platform guest service fees.</x:v>
      </x:c>
      <x:c r="D12" s="200" t="str">
        <x:v>Model convention</x:v>
      </x:c>
    </x:row>
    <x:row r="13" ht="50" customHeight="1">
      <x:c r="A13" s="200" t="str">
        <x:v>Platform fees</x:v>
      </x:c>
      <x:c r="B13" s="200" t="str">
        <x:v>Gross booking revenue x host fee rate</x:v>
      </x:c>
      <x:c r="C13" s="200" t="str">
        <x:v>15.5% is the example single fee; split-fee and other channel arrangements differ. Confirm PMS/channel treatment.</x:v>
      </x:c>
      <x:c r="D13" s="200" t="str">
        <x:v>https://www.airbnb.com/help/article/1857</x:v>
      </x:c>
    </x:row>
    <x:row r="14" ht="50" customHeight="1">
      <x:c r="A14" s="200" t="str">
        <x:v>Management fee</x:v>
      </x:c>
      <x:c r="B14" s="200" t="str">
        <x:v>Selected revenue basis x fee percent</x:v>
      </x:c>
      <x:c r="C14" s="200" t="str">
        <x:v>Room-only and gross-booking bases produce different results; check your contract.</x:v>
      </x:c>
      <x:c r="D14" s="200" t="str">
        <x:v>Illustrative assumption; contract controls</x:v>
      </x:c>
    </x:row>
    <x:row r="15" ht="50" customHeight="1">
      <x:c r="A15" s="200" t="str">
        <x:v>NOI</x:v>
      </x:c>
      <x:c r="B15" s="200" t="str">
        <x:v>Revenue - operating expenses, before financing</x:v>
      </x:c>
      <x:c r="C15" s="200" t="str">
        <x:v>Ownership NOI excludes income tax, depreciation and CapEx reserves. Lender DSCR may adjust expenses.</x:v>
      </x:c>
      <x:c r="D15" s="200" t="str">
        <x:v>Model convention</x:v>
      </x:c>
    </x:row>
    <x:row r="16" ht="50" customHeight="1">
      <x:c r="A16" s="200" t="str">
        <x:v>Cash flow</x:v>
      </x:c>
      <x:c r="B16" s="200" t="str">
        <x:v>NOI - debt service - CapEx reserve</x:v>
      </x:c>
      <x:c r="C16" s="200" t="str">
        <x:v>Arbitrage has no debt; cash flow includes replacement reserves. Cash flow is before income tax unless labeled otherwise.</x:v>
      </x:c>
      <x:c r="D16" s="200" t="str">
        <x:v>Model convention</x:v>
      </x:c>
    </x:row>
    <x:row r="17" ht="50" customHeight="1">
      <x:c r="A17" s="200" t="str">
        <x:v>Cash-on-cash</x:v>
      </x:c>
      <x:c r="B17" s="200" t="str">
        <x:v>Annual pre-tax cash flow / total initial cash</x:v>
      </x:c>
      <x:c r="C17" s="200" t="str">
        <x:v>Includes deposits and reserves in the denominator. Not a total investment return or IRR.</x:v>
      </x:c>
      <x:c r="D17" s="200" t="str">
        <x:v>Model convention</x:v>
      </x:c>
    </x:row>
    <x:row r="18" ht="50" customHeight="1">
      <x:c r="A18" s="200" t="str">
        <x:v>Cap rate</x:v>
      </x:c>
      <x:c r="B18" s="200" t="str">
        <x:v>NOI / purchase price</x:v>
      </x:c>
      <x:c r="C18" s="200" t="str">
        <x:v>Based on purchase price, not all-in cost. Compare consistent NOI definitions.</x:v>
      </x:c>
      <x:c r="D18" s="200" t="str">
        <x:v>Model convention</x:v>
      </x:c>
    </x:row>
    <x:row r="19" ht="50" customHeight="1">
      <x:c r="A19" s="200" t="str">
        <x:v>DSCR</x:v>
      </x:c>
      <x:c r="B19" s="200" t="str">
        <x:v>NOI / scheduled P&amp;I</x:v>
      </x:c>
      <x:c r="C19" s="200" t="str">
        <x:v>No debt = N/M. The additional coverage-after-CapEx metric is more conservative.</x:v>
      </x:c>
      <x:c r="D19" s="200" t="str">
        <x:v>Model convention; lender definitions vary</x:v>
      </x:c>
    </x:row>
    <x:row r="20" ht="50" customHeight="1">
      <x:c r="A20" s="200" t="str">
        <x:v>Break-even occupancy</x:v>
      </x:c>
      <x:c r="B20" s="200" t="str">
        <x:v>Fixed cash burden / (available nights x contribution per occupied night)</x:v>
      </x:c>
      <x:c r="C20" s="200" t="str">
        <x:v>Includes platform, management, cleaning, ancillary fees and variable reserves. Ownership adds debt service.</x:v>
      </x:c>
      <x:c r="D20" s="200" t="str">
        <x:v>Derived algebra in calculator</x:v>
      </x:c>
    </x:row>
    <x:row r="21" ht="50" customHeight="1">
      <x:c r="A21" s="200" t="str">
        <x:v>Break-even ADR</x:v>
      </x:c>
      <x:c r="B21" s="200" t="str">
        <x:v>Solve cash flow = 0 at fixed occupied nights</x:v>
      </x:c>
      <x:c r="C21" s="200" t="str">
        <x:v>No occupied nights or nonpositive room coefficient =&gt; N/M.</x:v>
      </x:c>
      <x:c r="D21" s="200" t="str">
        <x:v>Derived algebra in calculator</x:v>
      </x:c>
    </x:row>
    <x:row r="22" ht="50" customHeight="1">
      <x:c r="A22" s="200" t="str">
        <x:v>Payback</x:v>
      </x:c>
      <x:c r="B22" s="200" t="str">
        <x:v>Initial capital / average monthly positive cash flow</x:v>
      </x:c>
      <x:c r="C22" s="200" t="str">
        <x:v>N/M for zero/negative cash flow. Refundable deposits and reserves remain in the denominator. Not startup-timing adjusted.</x:v>
      </x:c>
      <x:c r="D22" s="200" t="str">
        <x:v>Model convention</x:v>
      </x:c>
    </x:row>
    <x:row r="23" ht="50" customHeight="1">
      <x:c r="A23" s="200" t="str">
        <x:v>Base-case targets</x:v>
      </x:c>
      <x:c r="B23" s="200" t="str">
        <x:v>Editable screening preferences</x:v>
      </x:c>
      <x:c r="C23" s="200" t="str">
        <x:v>Arbitrage 20% CoC; ownership 8% CoC; ownership DSCR 1.25 are illustrative examples, not universal minimums.</x:v>
      </x:c>
      <x:c r="D23" s="200" t="str">
        <x:v>Author-selected educational assumptions</x:v>
      </x:c>
    </x:row>
    <x:row r="24" ht="50" customHeight="1">
      <x:c r="A24" s="200" t="str">
        <x:v>Financing</x:v>
      </x:c>
      <x:c r="B24" s="200" t="str">
        <x:v>Fixed-rate monthly amortization</x:v>
      </x:c>
      <x:c r="C24" s="200" t="str">
        <x:v>No interest-only period, balloon, points amortization, escrow, refinancing or prepayments. Interest is not the entire mortgage payment.</x:v>
      </x:c>
      <x:c r="D24" s="200" t="str">
        <x:v>Model convention</x:v>
      </x:c>
    </x:row>
    <x:row r="25" ht="50" customHeight="1">
      <x:c r="A25" s="200" t="str">
        <x:v>Tax acquisition / service dates</x:v>
      </x:c>
      <x:c r="B25" s="200" t="str">
        <x:v>Eligibility uses tax acquisition and placed-in-service facts</x:v>
      </x:c>
      <x:c r="C25" s="200" t="str">
        <x:v>Tax acquisition may depend on written binding contracts. A closing date alone may not settle bonus eligibility.</x:v>
      </x:c>
      <x:c r="D25" s="200" t="str">
        <x:v>https://www.irs.gov/pub/irs-drop/n-26-11.pdf</x:v>
      </x:c>
    </x:row>
    <x:row r="26" ht="50" customHeight="1">
      <x:c r="A26" s="200" t="str">
        <x:v>Bonus depreciation</x:v>
      </x:c>
      <x:c r="B26" s="200" t="str">
        <x:v>100% for qualifying post-January-19-2025 property, subject to rules</x:v>
      </x:c>
      <x:c r="C26" s="200" t="str">
        <x:v>No blanket building write-off. Eligibility confirmations default to Unconfirmed; effective bonus is zero until confirmed.</x:v>
      </x:c>
      <x:c r="D26" s="200" t="str">
        <x:v>https://www.irs.gov/pub/irs-drop/n-26-11.pdf</x:v>
      </x:c>
    </x:row>
    <x:row r="27" ht="50" customHeight="1">
      <x:c r="A27" s="200" t="str">
        <x:v>Cost segregation</x:v>
      </x:c>
      <x:c r="B27" s="200" t="str">
        <x:v>Professionally allocate eligible real-estate basis to asset classes</x:v>
      </x:c>
      <x:c r="C27" s="200" t="str">
        <x:v>20% reclassification and 70/0/30 class allocation are only illustrative inputs. Furniture is separate to avoid duplication.</x:v>
      </x:c>
      <x:c r="D27" s="200" t="str">
        <x:v>https://www.irs.gov/publications/p946</x:v>
      </x:c>
    </x:row>
    <x:row r="28" ht="50" customHeight="1">
      <x:c r="A28" s="200" t="str">
        <x:v>Building life / land</x:v>
      </x:c>
      <x:c r="B28" s="200" t="str">
        <x:v>Land excluded; building recovery life confirmed by CPA</x:v>
      </x:c>
      <x:c r="C28" s="200" t="str">
        <x:v>27.5 vs 39 years depends on tax classification. The seven-day passive-activity exception is a separate test.</x:v>
      </x:c>
      <x:c r="D28" s="200" t="str">
        <x:v>https://www.irs.gov/publications/p946</x:v>
      </x:c>
    </x:row>
    <x:row r="29" ht="50" customHeight="1">
      <x:c r="A29" s="200" t="str">
        <x:v>MACRS</x:v>
      </x:c>
      <x:c r="B29" s="200" t="str">
        <x:v>Half-year 5-year: 20%; 7-year: 14.29%; 15-year: 5% examples</x:v>
      </x:c>
      <x:c r="C29" s="200" t="str">
        <x:v>Mid-quarter, ADS and special circumstances need different rates. Building uses mid-month convention.</x:v>
      </x:c>
      <x:c r="D29" s="200" t="str">
        <x:v>https://www.irs.gov/publications/p946</x:v>
      </x:c>
    </x:row>
    <x:row r="30" ht="50" customHeight="1">
      <x:c r="A30" s="200" t="str">
        <x:v>STR passive-activity exception</x:v>
      </x:c>
      <x:c r="B30" s="200" t="str">
        <x:v>Average customer use &lt;=7 days is one rental-activity exception</x:v>
      </x:c>
      <x:c r="C30" s="200" t="str">
        <x:v>Material participation still needs a separate determination. It does not automatically create an active-income offset.</x:v>
      </x:c>
      <x:c r="D30" s="200" t="str">
        <x:v>https://www.irs.gov/publications/p925</x:v>
      </x:c>
    </x:row>
    <x:row r="31" ht="50" customHeight="1">
      <x:c r="A31" s="200" t="str">
        <x:v>Loss-use limits</x:v>
      </x:c>
      <x:c r="B31" s="200" t="str">
        <x:v>CPA-entered currently usable loss cap</x:v>
      </x:c>
      <x:c r="C31" s="200" t="str">
        <x:v>Basis, at-risk, passive and excess-business-loss limits may apply. Caps default to zero; no guaranteed refund.</x:v>
      </x:c>
      <x:c r="D31" s="200" t="str">
        <x:v>https://www.irs.gov/publications/p925</x:v>
      </x:c>
    </x:row>
    <x:row r="32" ht="50" customHeight="1">
      <x:c r="A32" s="200" t="str">
        <x:v>State income tax</x:v>
      </x:c>
      <x:c r="B32" s="200" t="str">
        <x:v>Independent depreciation and loss-use inputs</x:v>
      </x:c>
      <x:c r="C32" s="200" t="str">
        <x:v>Unknown state treatment is marked Not modeled. Federal conformity and state/federal interactions are not presumed.</x:v>
      </x:c>
      <x:c r="D32" s="200" t="str">
        <x:v>State-specific professional review required</x:v>
      </x:c>
    </x:row>
    <x:row r="33" ht="50" customHeight="1">
      <x:c r="A33" s="200" t="str">
        <x:v>After-tax cash flow</x:v>
      </x:c>
      <x:c r="B33" s="200" t="str">
        <x:v>Pre-tax cash flow - modeled federal tax - modeled state tax</x:v>
      </x:c>
      <x:c r="C33" s="200" t="str">
        <x:v>Not simply cash flow plus depreciation x tax rate. Unmodeled state tax remains excluded, not assumed nonexistent.</x:v>
      </x:c>
      <x:c r="D33" s="200" t="str">
        <x:v>Derived model convention</x:v>
      </x:c>
    </x:row>
    <x:row r="34" ht="50" customHeight="1">
      <x:c r="A34" s="200" t="str">
        <x:v>Tax scope / exclusions</x:v>
      </x:c>
      <x:c r="B34" s="200" t="str">
        <x:v>100% business-use, simplified first calendar year</x:v>
      </x:c>
      <x:c r="C34" s="200" t="str">
        <x:v>Actual tax ledgers, personal use, Schedule C/E, NIIT, SE tax, credits, AMT and recapture require separate review.</x:v>
      </x:c>
      <x:c r="D34" s="200" t="str">
        <x:v>https://www.irs.gov/publications/p527</x:v>
      </x:c>
    </x:row>
    <x:row r="35" ht="50" customHeight="1">
      <x:c r="A35" s="6"/>
      <x:c r="B35" s="6"/>
      <x:c r="C35" s="6"/>
      <x:c r="D35" s="6"/>
    </x:row>
    <x:row r="36" ht="50" customHeight="1">
      <x:c r="A36" s="6"/>
      <x:c r="B36" s="6"/>
      <x:c r="C36" s="6"/>
      <x:c r="D36" s="6"/>
    </x:row>
    <x:row r="37" ht="50" customHeight="1">
      <x:c r="A37" s="6"/>
      <x:c r="B37" s="6"/>
      <x:c r="C37" s="6"/>
      <x:c r="D37" s="6"/>
    </x:row>
    <x:row r="38" ht="50" customHeight="1">
      <x:c r="A38" s="6"/>
      <x:c r="B38" s="6"/>
      <x:c r="C38" s="6"/>
      <x:c r="D38" s="6"/>
    </x:row>
    <x:row r="39" ht="50" customHeight="1">
      <x:c r="A39" s="6"/>
      <x:c r="B39" s="6"/>
      <x:c r="C39" s="6"/>
      <x:c r="D39" s="6"/>
    </x:row>
    <x:row r="40" ht="50" customHeight="1">
      <x:c r="A40" s="6"/>
      <x:c r="B40" s="6"/>
      <x:c r="C40" s="6"/>
      <x:c r="D40" s="6"/>
    </x:row>
    <x:row r="41" ht="50" customHeight="1">
      <x:c r="A41" s="6"/>
      <x:c r="B41" s="6"/>
      <x:c r="C41" s="6"/>
      <x:c r="D41" s="6"/>
    </x:row>
    <x:row r="42" ht="50" customHeight="1">
      <x:c r="A42" s="6"/>
      <x:c r="B42" s="6"/>
      <x:c r="C42" s="6"/>
      <x:c r="D42" s="6"/>
    </x:row>
    <x:row r="43" ht="50" customHeight="1">
      <x:c r="A43" s="6"/>
      <x:c r="B43" s="6"/>
      <x:c r="C43" s="6"/>
      <x:c r="D43" s="6"/>
    </x:row>
    <x:row r="44" ht="50" customHeight="1">
      <x:c r="A44" s="6"/>
      <x:c r="B44" s="6"/>
      <x:c r="C44" s="6"/>
      <x:c r="D44" s="6"/>
    </x:row>
    <x:row r="45" ht="50" customHeight="1">
      <x:c r="A45" s="6"/>
      <x:c r="B45" s="6"/>
      <x:c r="C45" s="6"/>
      <x:c r="D45" s="6"/>
    </x:row>
  </x:sheetData>
  <x:mergeCells>
    <x:mergeCell ref="A1:D2"/>
    <x:mergeCell ref="A3:D4"/>
  </x:mergeCells>
  <x:pageMargins left="0.7" right="0.7" top="0.75" bottom="0.75" header="0.3" footer="0.3"/>
  <x:tableParts count="1">
    <x:tablePart xmlns:r="http://schemas.openxmlformats.org/officeDocument/2006/relationships" r:id="R9dead2bd178541b5"/>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38" hidden="0" customWidth="1"/>
    <x:col min="2" max="2" width="34" hidden="0" customWidth="1"/>
    <x:col min="3" max="3" width="29" hidden="0" customWidth="1"/>
    <x:col min="4" max="4" width="20" hidden="0" customWidth="1"/>
    <x:col min="5" max="5" width="20" hidden="0" customWidth="1"/>
    <x:col min="6" max="6" width="12" hidden="0" customWidth="1"/>
    <x:col min="7" max="7" width="2" hidden="0" customWidth="1"/>
  </x:cols>
  <x:sheetData>
    <x:row r="1" ht="28" customHeight="1">
      <x:c r="A1" s="202" t="str">
        <x:v>MODEL QA | Tested examples</x:v>
      </x:c>
      <x:c r="B1" s="202" t="str">
        <x:v>MODEL QA | Tested examples</x:v>
      </x:c>
      <x:c r="C1" s="202" t="str">
        <x:v>MODEL QA | Tested examples</x:v>
      </x:c>
      <x:c r="D1" s="202" t="str">
        <x:v>MODEL QA | Tested examples</x:v>
      </x:c>
      <x:c r="E1" s="202" t="str">
        <x:v>MODEL QA | Tested examples</x:v>
      </x:c>
      <x:c r="F1" s="202" t="str">
        <x:v>MODEL QA | Tested examples</x:v>
      </x:c>
      <x:c r="G1" s="202" t="str">
        <x:v>MODEL QA | Tested examples</x:v>
      </x:c>
    </x:row>
    <x:row r="2" ht="24" customHeight="1">
      <x:c r="A2" s="202" t="str">
        <x:v>MODEL QA | Tested examples</x:v>
      </x:c>
      <x:c r="B2" s="202" t="str">
        <x:v>MODEL QA | Tested examples</x:v>
      </x:c>
      <x:c r="C2" s="202" t="str">
        <x:v>MODEL QA | Tested examples</x:v>
      </x:c>
      <x:c r="D2" s="202" t="str">
        <x:v>MODEL QA | Tested examples</x:v>
      </x:c>
      <x:c r="E2" s="202" t="str">
        <x:v>MODEL QA | Tested examples</x:v>
      </x:c>
      <x:c r="F2" s="202" t="str">
        <x:v>MODEL QA | Tested examples</x:v>
      </x:c>
      <x:c r="G2" s="202" t="str">
        <x:v>MODEL QA | Tested examples</x:v>
      </x:c>
    </x:row>
    <x:row r="3" ht="27" customHeight="1">
      <x:c r="A3" s="203" t="str">
        <x:v>Static verification log • 21 September 2026 • independent Python arithmetic checked against the workbook outputs • not deal recommendations</x:v>
      </x:c>
      <x:c r="B3" s="203" t="str">
        <x:v>Static verification log • 21 September 2026 • independent Python arithmetic checked against the workbook outputs • not deal recommendations</x:v>
      </x:c>
      <x:c r="C3" s="203" t="str">
        <x:v>Static verification log • 21 September 2026 • independent Python arithmetic checked against the workbook outputs • not deal recommendations</x:v>
      </x:c>
      <x:c r="D3" s="203" t="str">
        <x:v>Static verification log • 21 September 2026 • independent Python arithmetic checked against the workbook outputs • not deal recommendations</x:v>
      </x:c>
      <x:c r="E3" s="203" t="str">
        <x:v>Static verification log • 21 September 2026 • independent Python arithmetic checked against the workbook outputs • not deal recommendations</x:v>
      </x:c>
      <x:c r="F3" s="203" t="str">
        <x:v>Static verification log • 21 September 2026 • independent Python arithmetic checked against the workbook outputs • not deal recommendations</x:v>
      </x:c>
      <x:c r="G3" s="203" t="str">
        <x:v>Static verification log • 21 September 2026 • independent Python arithmetic checked against the workbook outputs • not deal recommendations</x:v>
      </x:c>
    </x:row>
    <x:row r="4" ht="27" customHeight="1">
      <x:c r="A4" s="203" t="str">
        <x:v>Static verification log • 21 September 2026 • independent Python arithmetic checked against the workbook outputs • not deal recommendations</x:v>
      </x:c>
      <x:c r="B4" s="203" t="str">
        <x:v>Static verification log • 21 September 2026 • independent Python arithmetic checked against the workbook outputs • not deal recommendations</x:v>
      </x:c>
      <x:c r="C4" s="203" t="str">
        <x:v>Static verification log • 21 September 2026 • independent Python arithmetic checked against the workbook outputs • not deal recommendations</x:v>
      </x:c>
      <x:c r="D4" s="203" t="str">
        <x:v>Static verification log • 21 September 2026 • independent Python arithmetic checked against the workbook outputs • not deal recommendations</x:v>
      </x:c>
      <x:c r="E4" s="203" t="str">
        <x:v>Static verification log • 21 September 2026 • independent Python arithmetic checked against the workbook outputs • not deal recommendations</x:v>
      </x:c>
      <x:c r="F4" s="203" t="str">
        <x:v>Static verification log • 21 September 2026 • independent Python arithmetic checked against the workbook outputs • not deal recommendations</x:v>
      </x:c>
      <x:c r="G4" s="203" t="str">
        <x:v>Static verification log • 21 September 2026 • independent Python arithmetic checked against the workbook outputs • not deal recommendations</x:v>
      </x:c>
    </x:row>
    <x:row r="5" ht="27" customHeight="1">
      <x:c r="A5" s="200"/>
      <x:c r="B5" s="200"/>
      <x:c r="C5" s="200"/>
      <x:c r="D5" s="200"/>
      <x:c r="E5" s="200"/>
      <x:c r="F5" s="200"/>
      <x:c r="G5" s="200"/>
    </x:row>
    <x:row r="6" ht="27" customHeight="1">
      <x:c r="A6" s="317" t="str">
        <x:v>152 numerical / boundary assertions • 22 test cases • all passed</x:v>
      </x:c>
      <x:c r="B6" s="317" t="str">
        <x:v>152 numerical / boundary assertions • 22 test cases • all passed</x:v>
      </x:c>
      <x:c r="C6" s="317" t="str">
        <x:v>152 numerical / boundary assertions • 22 test cases • all passed</x:v>
      </x:c>
      <x:c r="D6" s="317" t="str">
        <x:v>152 numerical / boundary assertions • 22 test cases • all passed</x:v>
      </x:c>
      <x:c r="E6" s="317" t="str">
        <x:v>152 numerical / boundary assertions • 22 test cases • all passed</x:v>
      </x:c>
      <x:c r="F6" s="317" t="str">
        <x:v>152 numerical / boundary assertions • 22 test cases • all passed</x:v>
      </x:c>
      <x:c r="G6" s="317"/>
    </x:row>
    <x:row r="7" ht="27" customHeight="1">
      <x:c r="A7" s="199" t="str">
        <x:v>152 numerical / boundary assertions • 22 test cases • all passed</x:v>
      </x:c>
      <x:c r="B7" s="199" t="str">
        <x:v>152 numerical / boundary assertions • 22 test cases • all passed</x:v>
      </x:c>
      <x:c r="C7" s="199" t="str">
        <x:v>152 numerical / boundary assertions • 22 test cases • all passed</x:v>
      </x:c>
      <x:c r="D7" s="199" t="str">
        <x:v>152 numerical / boundary assertions • 22 test cases • all passed</x:v>
      </x:c>
      <x:c r="E7" s="199" t="str">
        <x:v>152 numerical / boundary assertions • 22 test cases • all passed</x:v>
      </x:c>
      <x:c r="F7" s="199" t="str">
        <x:v>152 numerical / boundary assertions • 22 test cases • all passed</x:v>
      </x:c>
      <x:c r="G7" s="200"/>
    </x:row>
    <x:row r="8" ht="27" customHeight="1">
      <x:c r="A8" s="199" t="str">
        <x:v>152 numerical / boundary assertions • 22 test cases • all passed</x:v>
      </x:c>
      <x:c r="B8" s="199" t="str">
        <x:v>152 numerical / boundary assertions • 22 test cases • all passed</x:v>
      </x:c>
      <x:c r="C8" s="199" t="str">
        <x:v>152 numerical / boundary assertions • 22 test cases • all passed</x:v>
      </x:c>
      <x:c r="D8" s="199" t="str">
        <x:v>152 numerical / boundary assertions • 22 test cases • all passed</x:v>
      </x:c>
      <x:c r="E8" s="199" t="str">
        <x:v>152 numerical / boundary assertions • 22 test cases • all passed</x:v>
      </x:c>
      <x:c r="F8" s="199" t="str">
        <x:v>152 numerical / boundary assertions • 22 test cases • all passed</x:v>
      </x:c>
      <x:c r="G8" s="200"/>
    </x:row>
    <x:row r="9" ht="27" customHeight="1">
      <x:c r="A9" s="200"/>
      <x:c r="B9" s="200"/>
      <x:c r="C9" s="200"/>
      <x:c r="D9" s="200"/>
      <x:c r="E9" s="200"/>
      <x:c r="F9" s="200"/>
      <x:c r="G9" s="200"/>
    </x:row>
    <x:row r="10" ht="27" customHeight="1">
      <x:c r="A10" s="200" t="str">
        <x:v>Includes full-cost baselines, profitable and losing examples, fee bases, zero occupancy, zero availability, monthly weighting, financed/all-cash/zero-rate loans, break-even identities, permission denials, bonus eligibility and capped loss use. The log is a build-time snapshot; it does not certify your assumptions.</x:v>
      </x:c>
      <x:c r="B10" s="200" t="str">
        <x:v>Includes full-cost baselines, profitable and losing examples, fee bases, zero occupancy, zero availability, monthly weighting, financed/all-cash/zero-rate loans, break-even identities, permission denials, bonus eligibility and capped loss use. The log is a build-time snapshot; it does not certify your assumptions.</x:v>
      </x:c>
      <x:c r="C10" s="200" t="str">
        <x:v>Includes full-cost baselines, profitable and losing examples, fee bases, zero occupancy, zero availability, monthly weighting, financed/all-cash/zero-rate loans, break-even identities, permission denials, bonus eligibility and capped loss use. The log is a build-time snapshot; it does not certify your assumptions.</x:v>
      </x:c>
      <x:c r="D10" s="200" t="str">
        <x:v>Includes full-cost baselines, profitable and losing examples, fee bases, zero occupancy, zero availability, monthly weighting, financed/all-cash/zero-rate loans, break-even identities, permission denials, bonus eligibility and capped loss use. The log is a build-time snapshot; it does not certify your assumptions.</x:v>
      </x:c>
      <x:c r="E10" s="200" t="str">
        <x:v>Includes full-cost baselines, profitable and losing examples, fee bases, zero occupancy, zero availability, monthly weighting, financed/all-cash/zero-rate loans, break-even identities, permission denials, bonus eligibility and capped loss use. The log is a build-time snapshot; it does not certify your assumptions.</x:v>
      </x:c>
      <x:c r="F10" s="200" t="str">
        <x:v>Includes full-cost baselines, profitable and losing examples, fee bases, zero occupancy, zero availability, monthly weighting, financed/all-cash/zero-rate loans, break-even identities, permission denials, bonus eligibility and capped loss use. The log is a build-time snapshot; it does not certify your assumptions.</x:v>
      </x:c>
      <x:c r="G10" s="200"/>
    </x:row>
    <x:row r="11" ht="27" customHeight="1">
      <x:c r="A11" s="200" t="str">
        <x:v>Includes full-cost baselines, profitable and losing examples, fee bases, zero occupancy, zero availability, monthly weighting, financed/all-cash/zero-rate loans, break-even identities, permission denials, bonus eligibility and capped loss use. The log is a build-time snapshot; it does not certify your assumptions.</x:v>
      </x:c>
      <x:c r="B11" s="200" t="str">
        <x:v>Includes full-cost baselines, profitable and losing examples, fee bases, zero occupancy, zero availability, monthly weighting, financed/all-cash/zero-rate loans, break-even identities, permission denials, bonus eligibility and capped loss use. The log is a build-time snapshot; it does not certify your assumptions.</x:v>
      </x:c>
      <x:c r="C11" s="200" t="str">
        <x:v>Includes full-cost baselines, profitable and losing examples, fee bases, zero occupancy, zero availability, monthly weighting, financed/all-cash/zero-rate loans, break-even identities, permission denials, bonus eligibility and capped loss use. The log is a build-time snapshot; it does not certify your assumptions.</x:v>
      </x:c>
      <x:c r="D11" s="200" t="str">
        <x:v>Includes full-cost baselines, profitable and losing examples, fee bases, zero occupancy, zero availability, monthly weighting, financed/all-cash/zero-rate loans, break-even identities, permission denials, bonus eligibility and capped loss use. The log is a build-time snapshot; it does not certify your assumptions.</x:v>
      </x:c>
      <x:c r="E11" s="200" t="str">
        <x:v>Includes full-cost baselines, profitable and losing examples, fee bases, zero occupancy, zero availability, monthly weighting, financed/all-cash/zero-rate loans, break-even identities, permission denials, bonus eligibility and capped loss use. The log is a build-time snapshot; it does not certify your assumptions.</x:v>
      </x:c>
      <x:c r="F11" s="200" t="str">
        <x:v>Includes full-cost baselines, profitable and losing examples, fee bases, zero occupancy, zero availability, monthly weighting, financed/all-cash/zero-rate loans, break-even identities, permission denials, bonus eligibility and capped loss use. The log is a build-time snapshot; it does not certify your assumptions.</x:v>
      </x:c>
      <x:c r="G11" s="200"/>
    </x:row>
    <x:row r="12" ht="27" customHeight="1">
      <x:c r="A12" s="200" t="str">
        <x:v>Includes full-cost baselines, profitable and losing examples, fee bases, zero occupancy, zero availability, monthly weighting, financed/all-cash/zero-rate loans, break-even identities, permission denials, bonus eligibility and capped loss use. The log is a build-time snapshot; it does not certify your assumptions.</x:v>
      </x:c>
      <x:c r="B12" s="200" t="str">
        <x:v>Includes full-cost baselines, profitable and losing examples, fee bases, zero occupancy, zero availability, monthly weighting, financed/all-cash/zero-rate loans, break-even identities, permission denials, bonus eligibility and capped loss use. The log is a build-time snapshot; it does not certify your assumptions.</x:v>
      </x:c>
      <x:c r="C12" s="200" t="str">
        <x:v>Includes full-cost baselines, profitable and losing examples, fee bases, zero occupancy, zero availability, monthly weighting, financed/all-cash/zero-rate loans, break-even identities, permission denials, bonus eligibility and capped loss use. The log is a build-time snapshot; it does not certify your assumptions.</x:v>
      </x:c>
      <x:c r="D12" s="200" t="str">
        <x:v>Includes full-cost baselines, profitable and losing examples, fee bases, zero occupancy, zero availability, monthly weighting, financed/all-cash/zero-rate loans, break-even identities, permission denials, bonus eligibility and capped loss use. The log is a build-time snapshot; it does not certify your assumptions.</x:v>
      </x:c>
      <x:c r="E12" s="200" t="str">
        <x:v>Includes full-cost baselines, profitable and losing examples, fee bases, zero occupancy, zero availability, monthly weighting, financed/all-cash/zero-rate loans, break-even identities, permission denials, bonus eligibility and capped loss use. The log is a build-time snapshot; it does not certify your assumptions.</x:v>
      </x:c>
      <x:c r="F12" s="200" t="str">
        <x:v>Includes full-cost baselines, profitable and losing examples, fee bases, zero occupancy, zero availability, monthly weighting, financed/all-cash/zero-rate loans, break-even identities, permission denials, bonus eligibility and capped loss use. The log is a build-time snapshot; it does not certify your assumptions.</x:v>
      </x:c>
      <x:c r="G12" s="200"/>
    </x:row>
    <x:row r="13" ht="27" customHeight="1">
      <x:c r="A13" s="200"/>
      <x:c r="B13" s="200"/>
      <x:c r="C13" s="200"/>
      <x:c r="D13" s="200"/>
      <x:c r="E13" s="200"/>
      <x:c r="F13" s="200"/>
      <x:c r="G13" s="200"/>
    </x:row>
    <x:row r="14" ht="28" customHeight="1">
      <x:c r="A14" s="199" t="str">
        <x:v>Test case</x:v>
      </x:c>
      <x:c r="B14" s="199" t="str">
        <x:v>Model</x:v>
      </x:c>
      <x:c r="C14" s="199" t="str">
        <x:v>Metric</x:v>
      </x:c>
      <x:c r="D14" s="199" t="str">
        <x:v>Expected</x:v>
      </x:c>
      <x:c r="E14" s="199" t="str">
        <x:v>Workbook result</x:v>
      </x:c>
      <x:c r="F14" s="199" t="str">
        <x:v>Status</x:v>
      </x:c>
      <x:c r="G14" s="200"/>
    </x:row>
    <x:row r="15" ht="32" customHeight="1">
      <x:c r="A15" s="200" t="str">
        <x:v>A01 | Full-cost baseline</x:v>
      </x:c>
      <x:c r="B15" s="200" t="str">
        <x:v>Arbitrage Calculator</x:v>
      </x:c>
      <x:c r="C15" s="200" t="str">
        <x:v>gross</x:v>
      </x:c>
      <x:c r="D15" s="262" t="n">
        <x:v>64350.00000000001</x:v>
      </x:c>
      <x:c r="E15" s="262" t="n">
        <x:v>64350.00000000001</x:v>
      </x:c>
      <x:c r="F15" s="199" t="str">
        <x:v>PASS</x:v>
      </x:c>
      <x:c r="G15" s="200"/>
    </x:row>
    <x:row r="16" ht="32" customHeight="1">
      <x:c r="A16" s="200" t="str">
        <x:v>A01 | Full-cost baseline</x:v>
      </x:c>
      <x:c r="B16" s="200" t="str">
        <x:v>Arbitrage Calculator</x:v>
      </x:c>
      <x:c r="C16" s="200" t="str">
        <x:v>cf</x:v>
      </x:c>
      <x:c r="D16" s="262" t="n">
        <x:v>-3123.7499999999927</x:v>
      </x:c>
      <x:c r="E16" s="262" t="n">
        <x:v>-3123.7499999999927</x:v>
      </x:c>
      <x:c r="F16" s="199" t="str">
        <x:v>PASS</x:v>
      </x:c>
      <x:c r="G16" s="200"/>
    </x:row>
    <x:row r="17" ht="32" customHeight="1">
      <x:c r="A17" s="200" t="str">
        <x:v>A01 | Full-cost baseline</x:v>
      </x:c>
      <x:c r="B17" s="200" t="str">
        <x:v>Arbitrage Calculator</x:v>
      </x:c>
      <x:c r="C17" s="200" t="str">
        <x:v>monthly</x:v>
      </x:c>
      <x:c r="D17" s="262" t="n">
        <x:v>-260.3124999999994</x:v>
      </x:c>
      <x:c r="E17" s="262" t="n">
        <x:v>-260.3124999999994</x:v>
      </x:c>
      <x:c r="F17" s="199" t="str">
        <x:v>PASS</x:v>
      </x:c>
      <x:c r="G17" s="200"/>
    </x:row>
    <x:row r="18" ht="32" customHeight="1">
      <x:c r="A18" s="200" t="str">
        <x:v>A01 | Full-cost baseline</x:v>
      </x:c>
      <x:c r="B18" s="200" t="str">
        <x:v>Arbitrage Calculator</x:v>
      </x:c>
      <x:c r="C18" s="200" t="str">
        <x:v>capital</x:v>
      </x:c>
      <x:c r="D18" s="262" t="n">
        <x:v>31010</x:v>
      </x:c>
      <x:c r="E18" s="262" t="n">
        <x:v>31010</x:v>
      </x:c>
      <x:c r="F18" s="199" t="str">
        <x:v>PASS</x:v>
      </x:c>
      <x:c r="G18" s="200"/>
    </x:row>
    <x:row r="19" ht="32" customHeight="1">
      <x:c r="A19" s="200" t="str">
        <x:v>A01 | Full-cost baseline</x:v>
      </x:c>
      <x:c r="B19" s="200" t="str">
        <x:v>Arbitrage Calculator</x:v>
      </x:c>
      <x:c r="C19" s="200" t="str">
        <x:v>coc</x:v>
      </x:c>
      <x:c r="D19" s="262" t="n">
        <x:v>-0.10073363431151218</x:v>
      </x:c>
      <x:c r="E19" s="262" t="n">
        <x:v>-0.10073363431151218</x:v>
      </x:c>
      <x:c r="F19" s="199" t="str">
        <x:v>PASS</x:v>
      </x:c>
      <x:c r="G19" s="200"/>
    </x:row>
    <x:row r="20" ht="32" customHeight="1">
      <x:c r="A20" s="200" t="str">
        <x:v>A01 | Full-cost baseline</x:v>
      </x:c>
      <x:c r="B20" s="200" t="str">
        <x:v>Arbitrage Calculator</x:v>
      </x:c>
      <x:c r="C20" s="200" t="str">
        <x:v>beocc</x:v>
      </x:c>
      <x:c r="D20" s="262" t="n">
        <x:v>0.5983739837398374</x:v>
      </x:c>
      <x:c r="E20" s="262" t="n">
        <x:v>0.5983739837398373</x:v>
      </x:c>
      <x:c r="F20" s="199" t="str">
        <x:v>PASS</x:v>
      </x:c>
      <x:c r="G20" s="200"/>
    </x:row>
    <x:row r="21" ht="32" customHeight="1">
      <x:c r="A21" s="200" t="str">
        <x:v>A01 | Full-cost baseline</x:v>
      </x:c>
      <x:c r="B21" s="200" t="str">
        <x:v>Arbitrage Calculator</x:v>
      </x:c>
      <x:c r="C21" s="200" t="str">
        <x:v>beadr</x:v>
      </x:c>
      <x:c r="D21" s="262" t="n">
        <x:v>297.7000218007412</x:v>
      </x:c>
      <x:c r="E21" s="262" t="n">
        <x:v>297.70002180074124</x:v>
      </x:c>
      <x:c r="F21" s="199" t="str">
        <x:v>PASS</x:v>
      </x:c>
      <x:c r="G21" s="200"/>
    </x:row>
    <x:row r="22" ht="32" customHeight="1">
      <x:c r="A22" s="200" t="str">
        <x:v>A02 | Strong deal, lower rent</x:v>
      </x:c>
      <x:c r="B22" s="200" t="str">
        <x:v>Arbitrage Calculator</x:v>
      </x:c>
      <x:c r="C22" s="200" t="str">
        <x:v>gross</x:v>
      </x:c>
      <x:c r="D22" s="262" t="n">
        <x:v>84240</x:v>
      </x:c>
      <x:c r="E22" s="262" t="n">
        <x:v>84240</x:v>
      </x:c>
      <x:c r="F22" s="199" t="str">
        <x:v>PASS</x:v>
      </x:c>
      <x:c r="G22" s="200"/>
    </x:row>
    <x:row r="23" ht="32" customHeight="1">
      <x:c r="A23" s="200" t="str">
        <x:v>A02 | Strong deal, lower rent</x:v>
      </x:c>
      <x:c r="B23" s="200" t="str">
        <x:v>Arbitrage Calculator</x:v>
      </x:c>
      <x:c r="C23" s="200" t="str">
        <x:v>cf</x:v>
      </x:c>
      <x:c r="D23" s="262" t="n">
        <x:v>16225.800000000003</x:v>
      </x:c>
      <x:c r="E23" s="262" t="n">
        <x:v>16225.800000000003</x:v>
      </x:c>
      <x:c r="F23" s="199" t="str">
        <x:v>PASS</x:v>
      </x:c>
      <x:c r="G23" s="200"/>
    </x:row>
    <x:row r="24" ht="32" customHeight="1">
      <x:c r="A24" s="200" t="str">
        <x:v>A02 | Strong deal, lower rent</x:v>
      </x:c>
      <x:c r="B24" s="200" t="str">
        <x:v>Arbitrage Calculator</x:v>
      </x:c>
      <x:c r="C24" s="200" t="str">
        <x:v>monthly</x:v>
      </x:c>
      <x:c r="D24" s="262" t="n">
        <x:v>1352.1500000000003</x:v>
      </x:c>
      <x:c r="E24" s="262" t="n">
        <x:v>1352.1500000000003</x:v>
      </x:c>
      <x:c r="F24" s="199" t="str">
        <x:v>PASS</x:v>
      </x:c>
      <x:c r="G24" s="200"/>
    </x:row>
    <x:row r="25" ht="32" customHeight="1">
      <x:c r="A25" s="200" t="str">
        <x:v>A02 | Strong deal, lower rent</x:v>
      </x:c>
      <x:c r="B25" s="200" t="str">
        <x:v>Arbitrage Calculator</x:v>
      </x:c>
      <x:c r="C25" s="200" t="str">
        <x:v>capital</x:v>
      </x:c>
      <x:c r="D25" s="262" t="n">
        <x:v>29210</x:v>
      </x:c>
      <x:c r="E25" s="262" t="n">
        <x:v>29210</x:v>
      </x:c>
      <x:c r="F25" s="199" t="str">
        <x:v>PASS</x:v>
      </x:c>
      <x:c r="G25" s="200"/>
    </x:row>
    <x:row r="26" ht="32" customHeight="1">
      <x:c r="A26" s="200" t="str">
        <x:v>A02 | Strong deal, lower rent</x:v>
      </x:c>
      <x:c r="B26" s="200" t="str">
        <x:v>Arbitrage Calculator</x:v>
      </x:c>
      <x:c r="C26" s="200" t="str">
        <x:v>coc</x:v>
      </x:c>
      <x:c r="D26" s="262" t="n">
        <x:v>0.5554878466278673</x:v>
      </x:c>
      <x:c r="E26" s="262" t="n">
        <x:v>0.5554878466278673</x:v>
      </x:c>
      <x:c r="F26" s="199" t="str">
        <x:v>PASS</x:v>
      </x:c>
      <x:c r="G26" s="200"/>
    </x:row>
    <x:row r="27" ht="32" customHeight="1">
      <x:c r="A27" s="200" t="str">
        <x:v>A02 | Strong deal, lower rent</x:v>
      </x:c>
      <x:c r="B27" s="200" t="str">
        <x:v>Arbitrage Calculator</x:v>
      </x:c>
      <x:c r="C27" s="200" t="str">
        <x:v>beocc</x:v>
      </x:c>
      <x:c r="D27" s="262" t="n">
        <x:v>0.4287350679103256</x:v>
      </x:c>
      <x:c r="E27" s="262" t="n">
        <x:v>0.4287350679103256</x:v>
      </x:c>
      <x:c r="F27" s="199" t="str">
        <x:v>PASS</x:v>
      </x:c>
      <x:c r="G27" s="200"/>
    </x:row>
    <x:row r="28" ht="32" customHeight="1">
      <x:c r="A28" s="200" t="str">
        <x:v>A02 | Strong deal, lower rent</x:v>
      </x:c>
      <x:c r="B28" s="200" t="str">
        <x:v>Arbitrage Calculator</x:v>
      </x:c>
      <x:c r="C28" s="200" t="str">
        <x:v>beadr</x:v>
      </x:c>
      <x:c r="D28" s="262" t="n">
        <x:v>210.22874008485522</x:v>
      </x:c>
      <x:c r="E28" s="262" t="n">
        <x:v>210.22874008485522</x:v>
      </x:c>
      <x:c r="F28" s="199" t="str">
        <x:v>PASS</x:v>
      </x:c>
      <x:c r="G28" s="200"/>
    </x:row>
    <x:row r="29" ht="32" customHeight="1">
      <x:c r="A29" s="200" t="str">
        <x:v>A03 | Low season / high fixed costs</x:v>
      </x:c>
      <x:c r="B29" s="200" t="str">
        <x:v>Arbitrage Calculator</x:v>
      </x:c>
      <x:c r="C29" s="200" t="str">
        <x:v>gross</x:v>
      </x:c>
      <x:c r="D29" s="262" t="n">
        <x:v>30239.999999999996</x:v>
      </x:c>
      <x:c r="E29" s="262" t="n">
        <x:v>30240</x:v>
      </x:c>
      <x:c r="F29" s="199" t="str">
        <x:v>PASS</x:v>
      </x:c>
      <x:c r="G29" s="200"/>
    </x:row>
    <x:row r="30" ht="32" customHeight="1">
      <x:c r="A30" s="200" t="str">
        <x:v>A03 | Low season / high fixed costs</x:v>
      </x:c>
      <x:c r="B30" s="200" t="str">
        <x:v>Arbitrage Calculator</x:v>
      </x:c>
      <x:c r="C30" s="200" t="str">
        <x:v>cf</x:v>
      </x:c>
      <x:c r="D30" s="262" t="n">
        <x:v>-33082.200000000004</x:v>
      </x:c>
      <x:c r="E30" s="262" t="n">
        <x:v>-33082.2</x:v>
      </x:c>
      <x:c r="F30" s="199" t="str">
        <x:v>PASS</x:v>
      </x:c>
      <x:c r="G30" s="200"/>
    </x:row>
    <x:row r="31" ht="32" customHeight="1">
      <x:c r="A31" s="200" t="str">
        <x:v>A03 | Low season / high fixed costs</x:v>
      </x:c>
      <x:c r="B31" s="200" t="str">
        <x:v>Arbitrage Calculator</x:v>
      </x:c>
      <x:c r="C31" s="200" t="str">
        <x:v>monthly</x:v>
      </x:c>
      <x:c r="D31" s="262" t="n">
        <x:v>-2756.8500000000004</x:v>
      </x:c>
      <x:c r="E31" s="262" t="n">
        <x:v>-2756.85</x:v>
      </x:c>
      <x:c r="F31" s="199" t="str">
        <x:v>PASS</x:v>
      </x:c>
      <x:c r="G31" s="200"/>
    </x:row>
    <x:row r="32" ht="32" customHeight="1">
      <x:c r="A32" s="200" t="str">
        <x:v>A03 | Low season / high fixed costs</x:v>
      </x:c>
      <x:c r="B32" s="200" t="str">
        <x:v>Arbitrage Calculator</x:v>
      </x:c>
      <x:c r="C32" s="200" t="str">
        <x:v>capital</x:v>
      </x:c>
      <x:c r="D32" s="262" t="n">
        <x:v>33410</x:v>
      </x:c>
      <x:c r="E32" s="262" t="n">
        <x:v>33410</x:v>
      </x:c>
      <x:c r="F32" s="199" t="str">
        <x:v>PASS</x:v>
      </x:c>
      <x:c r="G32" s="200"/>
    </x:row>
    <x:row r="33" ht="32" customHeight="1">
      <x:c r="A33" s="200" t="str">
        <x:v>A03 | Low season / high fixed costs</x:v>
      </x:c>
      <x:c r="B33" s="200" t="str">
        <x:v>Arbitrage Calculator</x:v>
      </x:c>
      <x:c r="C33" s="200" t="str">
        <x:v>coc</x:v>
      </x:c>
      <x:c r="D33" s="262" t="n">
        <x:v>-0.9901885662975158</x:v>
      </x:c>
      <x:c r="E33" s="262" t="n">
        <x:v>-0.9901885662975156</x:v>
      </x:c>
      <x:c r="F33" s="199" t="str">
        <x:v>PASS</x:v>
      </x:c>
      <x:c r="G33" s="200"/>
    </x:row>
    <x:row r="34" ht="32" customHeight="1">
      <x:c r="A34" s="200" t="str">
        <x:v>A03 | Low season / high fixed costs</x:v>
      </x:c>
      <x:c r="B34" s="200" t="str">
        <x:v>Arbitrage Calculator</x:v>
      </x:c>
      <x:c r="C34" s="200" t="str">
        <x:v>beocc</x:v>
      </x:c>
      <x:c r="D34" s="262" t="n">
        <x:v>1.1138819617622613</x:v>
      </x:c>
      <x:c r="E34" s="262" t="n">
        <x:v>1.1138819617622613</x:v>
      </x:c>
      <x:c r="F34" s="199" t="str">
        <x:v>PASS</x:v>
      </x:c>
      <x:c r="G34" s="200"/>
    </x:row>
    <x:row r="35" ht="32" customHeight="1">
      <x:c r="A35" s="200" t="str">
        <x:v>A03 | Low season / high fixed costs</x:v>
      </x:c>
      <x:c r="B35" s="200" t="str">
        <x:v>Arbitrage Calculator</x:v>
      </x:c>
      <x:c r="C35" s="200" t="str">
        <x:v>beadr</x:v>
      </x:c>
      <x:c r="D35" s="262" t="n">
        <x:v>567.7800616649538</x:v>
      </x:c>
      <x:c r="E35" s="262" t="n">
        <x:v>567.7800616649538</x:v>
      </x:c>
      <x:c r="F35" s="199" t="str">
        <x:v>PASS</x:v>
      </x:c>
      <x:c r="G35" s="200"/>
    </x:row>
    <x:row r="36" ht="32" customHeight="1">
      <x:c r="A36" s="200" t="str">
        <x:v>A04 | Gross management + guest fees</x:v>
      </x:c>
      <x:c r="B36" s="200" t="str">
        <x:v>Arbitrage Calculator</x:v>
      </x:c>
      <x:c r="C36" s="200" t="str">
        <x:v>gross</x:v>
      </x:c>
      <x:c r="D36" s="262" t="n">
        <x:v>66000.00000000001</x:v>
      </x:c>
      <x:c r="E36" s="262" t="n">
        <x:v>66000</x:v>
      </x:c>
      <x:c r="F36" s="199" t="str">
        <x:v>PASS</x:v>
      </x:c>
      <x:c r="G36" s="200"/>
    </x:row>
    <x:row r="37" ht="32" customHeight="1">
      <x:c r="A37" s="200" t="str">
        <x:v>A04 | Gross management + guest fees</x:v>
      </x:c>
      <x:c r="B37" s="200" t="str">
        <x:v>Arbitrage Calculator</x:v>
      </x:c>
      <x:c r="C37" s="200" t="str">
        <x:v>cf</x:v>
      </x:c>
      <x:c r="D37" s="262" t="n">
        <x:v>4045.5000000000146</x:v>
      </x:c>
      <x:c r="E37" s="262" t="n">
        <x:v>4045.5</x:v>
      </x:c>
      <x:c r="F37" s="199" t="str">
        <x:v>PASS</x:v>
      </x:c>
      <x:c r="G37" s="200"/>
    </x:row>
    <x:row r="38" ht="32" customHeight="1">
      <x:c r="A38" s="200" t="str">
        <x:v>A04 | Gross management + guest fees</x:v>
      </x:c>
      <x:c r="B38" s="200" t="str">
        <x:v>Arbitrage Calculator</x:v>
      </x:c>
      <x:c r="C38" s="200" t="str">
        <x:v>monthly</x:v>
      </x:c>
      <x:c r="D38" s="262" t="n">
        <x:v>337.1250000000012</x:v>
      </x:c>
      <x:c r="E38" s="262" t="n">
        <x:v>337.125</x:v>
      </x:c>
      <x:c r="F38" s="199" t="str">
        <x:v>PASS</x:v>
      </x:c>
      <x:c r="G38" s="200"/>
    </x:row>
    <x:row r="39" ht="32" customHeight="1">
      <x:c r="A39" s="200" t="str">
        <x:v>A04 | Gross management + guest fees</x:v>
      </x:c>
      <x:c r="B39" s="200" t="str">
        <x:v>Arbitrage Calculator</x:v>
      </x:c>
      <x:c r="C39" s="200" t="str">
        <x:v>capital</x:v>
      </x:c>
      <x:c r="D39" s="262" t="n">
        <x:v>31010</x:v>
      </x:c>
      <x:c r="E39" s="262" t="n">
        <x:v>31010</x:v>
      </x:c>
      <x:c r="F39" s="199" t="str">
        <x:v>PASS</x:v>
      </x:c>
      <x:c r="G39" s="200"/>
    </x:row>
    <x:row r="40" ht="32" customHeight="1">
      <x:c r="A40" s="200" t="str">
        <x:v>A04 | Gross management + guest fees</x:v>
      </x:c>
      <x:c r="B40" s="200" t="str">
        <x:v>Arbitrage Calculator</x:v>
      </x:c>
      <x:c r="C40" s="200" t="str">
        <x:v>coc</x:v>
      </x:c>
      <x:c r="D40" s="262" t="n">
        <x:v>0.1304579168010324</x:v>
      </x:c>
      <x:c r="E40" s="262" t="n">
        <x:v>0.13045791680103191</x:v>
      </x:c>
      <x:c r="F40" s="199" t="str">
        <x:v>PASS</x:v>
      </x:c>
      <x:c r="G40" s="200"/>
    </x:row>
    <x:row r="41" ht="32" customHeight="1">
      <x:c r="A41" s="200" t="str">
        <x:v>A04 | Gross management + guest fees</x:v>
      </x:c>
      <x:c r="B41" s="200" t="str">
        <x:v>Arbitrage Calculator</x:v>
      </x:c>
      <x:c r="C41" s="200" t="str">
        <x:v>beocc</x:v>
      </x:c>
      <x:c r="D41" s="262" t="n">
        <x:v>0.4978739853111712</x:v>
      </x:c>
      <x:c r="E41" s="262" t="n">
        <x:v>0.49787398531117116</x:v>
      </x:c>
      <x:c r="F41" s="199" t="str">
        <x:v>PASS</x:v>
      </x:c>
      <x:c r="G41" s="200"/>
    </x:row>
    <x:row r="42" ht="32" customHeight="1">
      <x:c r="A42" s="200" t="str">
        <x:v>A04 | Gross management + guest fees</x:v>
      </x:c>
      <x:c r="B42" s="200" t="str">
        <x:v>Arbitrage Calculator</x:v>
      </x:c>
      <x:c r="C42" s="200" t="str">
        <x:v>beadr</x:v>
      </x:c>
      <x:c r="D42" s="262" t="n">
        <x:v>249.46022727272725</x:v>
      </x:c>
      <x:c r="E42" s="262" t="n">
        <x:v>249.46022727272728</x:v>
      </x:c>
      <x:c r="F42" s="199" t="str">
        <x:v>PASS</x:v>
      </x:c>
      <x:c r="G42" s="200"/>
    </x:row>
    <x:row r="43" ht="32" customHeight="1">
      <x:c r="A43" s="200" t="str">
        <x:v>A05 | Zero occupancy</x:v>
      </x:c>
      <x:c r="B43" s="200" t="str">
        <x:v>Arbitrage Calculator</x:v>
      </x:c>
      <x:c r="C43" s="200" t="str">
        <x:v>gross</x:v>
      </x:c>
      <x:c r="D43" s="262" t="n">
        <x:v>0</x:v>
      </x:c>
      <x:c r="E43" s="262" t="n">
        <x:v>0</x:v>
      </x:c>
      <x:c r="F43" s="199" t="str">
        <x:v>PASS</x:v>
      </x:c>
      <x:c r="G43" s="200"/>
    </x:row>
    <x:row r="44" ht="32" customHeight="1">
      <x:c r="A44" s="200" t="str">
        <x:v>A05 | Zero occupancy</x:v>
      </x:c>
      <x:c r="B44" s="200" t="str">
        <x:v>Arbitrage Calculator</x:v>
      </x:c>
      <x:c r="C44" s="200" t="str">
        <x:v>cf</x:v>
      </x:c>
      <x:c r="D44" s="262" t="n">
        <x:v>-38640</x:v>
      </x:c>
      <x:c r="E44" s="262" t="n">
        <x:v>-38640</x:v>
      </x:c>
      <x:c r="F44" s="199" t="str">
        <x:v>PASS</x:v>
      </x:c>
      <x:c r="G44" s="200"/>
    </x:row>
    <x:row r="45" ht="32" customHeight="1">
      <x:c r="A45" s="200" t="str">
        <x:v>A05 | Zero occupancy</x:v>
      </x:c>
      <x:c r="B45" s="200" t="str">
        <x:v>Arbitrage Calculator</x:v>
      </x:c>
      <x:c r="C45" s="200" t="str">
        <x:v>monthly</x:v>
      </x:c>
      <x:c r="D45" s="262" t="n">
        <x:v>-3220</x:v>
      </x:c>
      <x:c r="E45" s="262" t="n">
        <x:v>-3220</x:v>
      </x:c>
      <x:c r="F45" s="199" t="str">
        <x:v>PASS</x:v>
      </x:c>
      <x:c r="G45" s="200"/>
    </x:row>
    <x:row r="46" ht="32" customHeight="1">
      <x:c r="A46" s="200" t="str">
        <x:v>A05 | Zero occupancy</x:v>
      </x:c>
      <x:c r="B46" s="200" t="str">
        <x:v>Arbitrage Calculator</x:v>
      </x:c>
      <x:c r="C46" s="200" t="str">
        <x:v>capital</x:v>
      </x:c>
      <x:c r="D46" s="262" t="n">
        <x:v>31010</x:v>
      </x:c>
      <x:c r="E46" s="262" t="n">
        <x:v>31010</x:v>
      </x:c>
      <x:c r="F46" s="199" t="str">
        <x:v>PASS</x:v>
      </x:c>
      <x:c r="G46" s="200"/>
    </x:row>
    <x:row r="47" ht="32" customHeight="1">
      <x:c r="A47" s="200" t="str">
        <x:v>A05 | Zero occupancy</x:v>
      </x:c>
      <x:c r="B47" s="200" t="str">
        <x:v>Arbitrage Calculator</x:v>
      </x:c>
      <x:c r="C47" s="200" t="str">
        <x:v>coc</x:v>
      </x:c>
      <x:c r="D47" s="262" t="n">
        <x:v>-1.2460496613995484</x:v>
      </x:c>
      <x:c r="E47" s="262" t="n">
        <x:v>-1.2460496613995484</x:v>
      </x:c>
      <x:c r="F47" s="199" t="str">
        <x:v>PASS</x:v>
      </x:c>
      <x:c r="G47" s="200"/>
    </x:row>
    <x:row r="48" ht="32" customHeight="1">
      <x:c r="A48" s="200" t="str">
        <x:v>A05 | Zero occupancy</x:v>
      </x:c>
      <x:c r="B48" s="200" t="str">
        <x:v>Arbitrage Calculator</x:v>
      </x:c>
      <x:c r="C48" s="200" t="str">
        <x:v>beocc</x:v>
      </x:c>
      <x:c r="D48" s="262" t="n">
        <x:v>0.5983739837398374</x:v>
      </x:c>
      <x:c r="E48" s="262" t="n">
        <x:v>0.5983739837398374</x:v>
      </x:c>
      <x:c r="F48" s="199" t="str">
        <x:v>PASS</x:v>
      </x:c>
      <x:c r="G48" s="200"/>
    </x:row>
    <x:row r="49" ht="32" customHeight="1">
      <x:c r="A49" s="200" t="str">
        <x:v>A05 | Zero occupancy</x:v>
      </x:c>
      <x:c r="B49" s="200" t="str">
        <x:v>Arbitrage Calculator</x:v>
      </x:c>
      <x:c r="C49" s="200" t="str">
        <x:v>beadr</x:v>
      </x:c>
      <x:c r="D49" s="262" t="str">
        <x:v>N/M</x:v>
      </x:c>
      <x:c r="E49" s="262" t="str">
        <x:v>N/M</x:v>
      </x:c>
      <x:c r="F49" s="199" t="str">
        <x:v>PASS</x:v>
      </x:c>
      <x:c r="G49" s="200"/>
    </x:row>
    <x:row r="50" ht="32" customHeight="1">
      <x:c r="A50" s="200" t="str">
        <x:v>A06 | Zero available nights</x:v>
      </x:c>
      <x:c r="B50" s="200" t="str">
        <x:v>Arbitrage Calculator</x:v>
      </x:c>
      <x:c r="C50" s="200" t="str">
        <x:v>gross</x:v>
      </x:c>
      <x:c r="D50" s="262" t="n">
        <x:v>0</x:v>
      </x:c>
      <x:c r="E50" s="262" t="n">
        <x:v>0</x:v>
      </x:c>
      <x:c r="F50" s="199" t="str">
        <x:v>PASS</x:v>
      </x:c>
      <x:c r="G50" s="200"/>
    </x:row>
    <x:row r="51" ht="32" customHeight="1">
      <x:c r="A51" s="200" t="str">
        <x:v>A06 | Zero available nights</x:v>
      </x:c>
      <x:c r="B51" s="200" t="str">
        <x:v>Arbitrage Calculator</x:v>
      </x:c>
      <x:c r="C51" s="200" t="str">
        <x:v>cf</x:v>
      </x:c>
      <x:c r="D51" s="262" t="n">
        <x:v>-38640</x:v>
      </x:c>
      <x:c r="E51" s="262" t="n">
        <x:v>-38640</x:v>
      </x:c>
      <x:c r="F51" s="199" t="str">
        <x:v>PASS</x:v>
      </x:c>
      <x:c r="G51" s="200"/>
    </x:row>
    <x:row r="52" ht="32" customHeight="1">
      <x:c r="A52" s="200" t="str">
        <x:v>A06 | Zero available nights</x:v>
      </x:c>
      <x:c r="B52" s="200" t="str">
        <x:v>Arbitrage Calculator</x:v>
      </x:c>
      <x:c r="C52" s="200" t="str">
        <x:v>monthly</x:v>
      </x:c>
      <x:c r="D52" s="262" t="n">
        <x:v>-3220</x:v>
      </x:c>
      <x:c r="E52" s="262" t="n">
        <x:v>-3220</x:v>
      </x:c>
      <x:c r="F52" s="199" t="str">
        <x:v>PASS</x:v>
      </x:c>
      <x:c r="G52" s="200"/>
    </x:row>
    <x:row r="53" ht="32" customHeight="1">
      <x:c r="A53" s="200" t="str">
        <x:v>A06 | Zero available nights</x:v>
      </x:c>
      <x:c r="B53" s="200" t="str">
        <x:v>Arbitrage Calculator</x:v>
      </x:c>
      <x:c r="C53" s="200" t="str">
        <x:v>capital</x:v>
      </x:c>
      <x:c r="D53" s="262" t="n">
        <x:v>31010</x:v>
      </x:c>
      <x:c r="E53" s="262" t="n">
        <x:v>31010</x:v>
      </x:c>
      <x:c r="F53" s="199" t="str">
        <x:v>PASS</x:v>
      </x:c>
      <x:c r="G53" s="200"/>
    </x:row>
    <x:row r="54" ht="32" customHeight="1">
      <x:c r="A54" s="200" t="str">
        <x:v>A06 | Zero available nights</x:v>
      </x:c>
      <x:c r="B54" s="200" t="str">
        <x:v>Arbitrage Calculator</x:v>
      </x:c>
      <x:c r="C54" s="200" t="str">
        <x:v>coc</x:v>
      </x:c>
      <x:c r="D54" s="262" t="n">
        <x:v>-1.2460496613995484</x:v>
      </x:c>
      <x:c r="E54" s="262" t="n">
        <x:v>-1.2460496613995484</x:v>
      </x:c>
      <x:c r="F54" s="199" t="str">
        <x:v>PASS</x:v>
      </x:c>
      <x:c r="G54" s="200"/>
    </x:row>
    <x:row r="55" ht="32" customHeight="1">
      <x:c r="A55" s="200" t="str">
        <x:v>A06 | Zero available nights</x:v>
      </x:c>
      <x:c r="B55" s="200" t="str">
        <x:v>Arbitrage Calculator</x:v>
      </x:c>
      <x:c r="C55" s="200" t="str">
        <x:v>beocc</x:v>
      </x:c>
      <x:c r="D55" s="262" t="str">
        <x:v>N/M</x:v>
      </x:c>
      <x:c r="E55" s="262" t="str">
        <x:v>N/M</x:v>
      </x:c>
      <x:c r="F55" s="199" t="str">
        <x:v>PASS</x:v>
      </x:c>
      <x:c r="G55" s="200"/>
    </x:row>
    <x:row r="56" ht="32" customHeight="1">
      <x:c r="A56" s="200" t="str">
        <x:v>A06 | Zero available nights</x:v>
      </x:c>
      <x:c r="B56" s="200" t="str">
        <x:v>Arbitrage Calculator</x:v>
      </x:c>
      <x:c r="C56" s="200" t="str">
        <x:v>beadr</x:v>
      </x:c>
      <x:c r="D56" s="262" t="str">
        <x:v>N/M</x:v>
      </x:c>
      <x:c r="E56" s="262" t="str">
        <x:v>N/M</x:v>
      </x:c>
      <x:c r="F56" s="199" t="str">
        <x:v>PASS</x:v>
      </x:c>
      <x:c r="G56" s="200"/>
    </x:row>
    <x:row r="57" ht="32" customHeight="1">
      <x:c r="A57" s="200" t="str">
        <x:v>O01 | Financed baseline</x:v>
      </x:c>
      <x:c r="B57" s="200" t="str">
        <x:v>Property Ownership Calculator</x:v>
      </x:c>
      <x:c r="C57" s="200" t="str">
        <x:v>gross</x:v>
      </x:c>
      <x:c r="D57" s="262" t="n">
        <x:v>64350.00000000001</x:v>
      </x:c>
      <x:c r="E57" s="262" t="n">
        <x:v>64350.00000000001</x:v>
      </x:c>
      <x:c r="F57" s="199" t="str">
        <x:v>PASS</x:v>
      </x:c>
      <x:c r="G57" s="200"/>
    </x:row>
    <x:row r="58" ht="32" customHeight="1">
      <x:c r="A58" s="200" t="str">
        <x:v>O01 | Financed baseline</x:v>
      </x:c>
      <x:c r="B58" s="200" t="str">
        <x:v>Property Ownership Calculator</x:v>
      </x:c>
      <x:c r="C58" s="200" t="str">
        <x:v>cf</x:v>
      </x:c>
      <x:c r="D58" s="262" t="n">
        <x:v>-8548.590041898788</x:v>
      </x:c>
      <x:c r="E58" s="262" t="n">
        <x:v>-8548.59004189877</x:v>
      </x:c>
      <x:c r="F58" s="199" t="str">
        <x:v>PASS</x:v>
      </x:c>
      <x:c r="G58" s="200"/>
    </x:row>
    <x:row r="59" ht="32" customHeight="1">
      <x:c r="A59" s="200" t="str">
        <x:v>O01 | Financed baseline</x:v>
      </x:c>
      <x:c r="B59" s="200" t="str">
        <x:v>Property Ownership Calculator</x:v>
      </x:c>
      <x:c r="C59" s="200" t="str">
        <x:v>monthly</x:v>
      </x:c>
      <x:c r="D59" s="262" t="n">
        <x:v>-712.3825034915657</x:v>
      </x:c>
      <x:c r="E59" s="262" t="n">
        <x:v>-712.3825034915641</x:v>
      </x:c>
      <x:c r="F59" s="199" t="str">
        <x:v>PASS</x:v>
      </x:c>
      <x:c r="G59" s="200"/>
    </x:row>
    <x:row r="60" ht="32" customHeight="1">
      <x:c r="A60" s="200" t="str">
        <x:v>O01 | Financed baseline</x:v>
      </x:c>
      <x:c r="B60" s="200" t="str">
        <x:v>Property Ownership Calculator</x:v>
      </x:c>
      <x:c r="C60" s="200" t="str">
        <x:v>capital</x:v>
      </x:c>
      <x:c r="D60" s="262" t="n">
        <x:v>140500</x:v>
      </x:c>
      <x:c r="E60" s="262" t="n">
        <x:v>140500</x:v>
      </x:c>
      <x:c r="F60" s="199" t="str">
        <x:v>PASS</x:v>
      </x:c>
      <x:c r="G60" s="200"/>
    </x:row>
    <x:row r="61" ht="32" customHeight="1">
      <x:c r="A61" s="200" t="str">
        <x:v>O01 | Financed baseline</x:v>
      </x:c>
      <x:c r="B61" s="200" t="str">
        <x:v>Property Ownership Calculator</x:v>
      </x:c>
      <x:c r="C61" s="200" t="str">
        <x:v>coc</x:v>
      </x:c>
      <x:c r="D61" s="262" t="n">
        <x:v>-0.06084405723771379</x:v>
      </x:c>
      <x:c r="E61" s="262" t="n">
        <x:v>-0.06084405723771366</x:v>
      </x:c>
      <x:c r="F61" s="199" t="str">
        <x:v>PASS</x:v>
      </x:c>
      <x:c r="G61" s="200"/>
    </x:row>
    <x:row r="62" ht="32" customHeight="1">
      <x:c r="A62" s="200" t="str">
        <x:v>O01 | Financed baseline</x:v>
      </x:c>
      <x:c r="B62" s="200" t="str">
        <x:v>Property Ownership Calculator</x:v>
      </x:c>
      <x:c r="C62" s="200" t="str">
        <x:v>beocc</x:v>
      </x:c>
      <x:c r="D62" s="262" t="n">
        <x:v>0.7122277263857822</x:v>
      </x:c>
      <x:c r="E62" s="262" t="n">
        <x:v>0.7122277263857817</x:v>
      </x:c>
      <x:c r="F62" s="199" t="str">
        <x:v>PASS</x:v>
      </x:c>
      <x:c r="G62" s="200"/>
    </x:row>
    <x:row r="63" ht="32" customHeight="1">
      <x:c r="A63" s="200" t="str">
        <x:v>O01 | Financed baseline</x:v>
      </x:c>
      <x:c r="B63" s="200" t="str">
        <x:v>Property Ownership Calculator</x:v>
      </x:c>
      <x:c r="C63" s="200" t="str">
        <x:v>beadr</x:v>
      </x:c>
      <x:c r="D63" s="262" t="n">
        <x:v>350.08642988053396</x:v>
      </x:c>
      <x:c r="E63" s="262" t="n">
        <x:v>350.0864298805338</x:v>
      </x:c>
      <x:c r="F63" s="199" t="str">
        <x:v>PASS</x:v>
      </x:c>
      <x:c r="G63" s="200"/>
    </x:row>
    <x:row r="64" ht="32" customHeight="1">
      <x:c r="A64" s="200" t="str">
        <x:v>O01 | Financed baseline</x:v>
      </x:c>
      <x:c r="B64" s="200" t="str">
        <x:v>Property Ownership Calculator</x:v>
      </x:c>
      <x:c r="C64" s="200" t="str">
        <x:v>noi</x:v>
      </x:c>
      <x:c r="D64" s="262" t="n">
        <x:v>14060.250000000007</x:v>
      </x:c>
      <x:c r="E64" s="262" t="n">
        <x:v>14060.250000000007</x:v>
      </x:c>
      <x:c r="F64" s="199" t="str">
        <x:v>PASS</x:v>
      </x:c>
      <x:c r="G64" s="200"/>
    </x:row>
    <x:row r="65" ht="32" customHeight="1">
      <x:c r="A65" s="200" t="str">
        <x:v>O01 | Financed baseline</x:v>
      </x:c>
      <x:c r="B65" s="200" t="str">
        <x:v>Property Ownership Calculator</x:v>
      </x:c>
      <x:c r="C65" s="200" t="str">
        <x:v>debt</x:v>
      </x:c>
      <x:c r="D65" s="262" t="n">
        <x:v>20430.840041898795</x:v>
      </x:c>
      <x:c r="E65" s="262" t="n">
        <x:v>20430.840041898777</x:v>
      </x:c>
      <x:c r="F65" s="199" t="str">
        <x:v>PASS</x:v>
      </x:c>
      <x:c r="G65" s="200"/>
    </x:row>
    <x:row r="66" ht="32" customHeight="1">
      <x:c r="A66" s="200" t="str">
        <x:v>O01 | Financed baseline</x:v>
      </x:c>
      <x:c r="B66" s="200" t="str">
        <x:v>Property Ownership Calculator</x:v>
      </x:c>
      <x:c r="C66" s="200" t="str">
        <x:v>pmt</x:v>
      </x:c>
      <x:c r="D66" s="262" t="n">
        <x:v>1702.5700034915662</x:v>
      </x:c>
      <x:c r="E66" s="262" t="n">
        <x:v>1702.570003491565</x:v>
      </x:c>
      <x:c r="F66" s="199" t="str">
        <x:v>PASS</x:v>
      </x:c>
      <x:c r="G66" s="200"/>
    </x:row>
    <x:row r="67" ht="32" customHeight="1">
      <x:c r="A67" s="200" t="str">
        <x:v>O01 | Financed baseline</x:v>
      </x:c>
      <x:c r="B67" s="200" t="str">
        <x:v>Property Ownership Calculator</x:v>
      </x:c>
      <x:c r="C67" s="200" t="str">
        <x:v>principal</x:v>
      </x:c>
      <x:c r="D67" s="262" t="n">
        <x:v>2797.5886431757212</x:v>
      </x:c>
      <x:c r="E67" s="262" t="n">
        <x:v>2797.588643175707</x:v>
      </x:c>
      <x:c r="F67" s="199" t="str">
        <x:v>PASS</x:v>
      </x:c>
      <x:c r="G67" s="200"/>
    </x:row>
    <x:row r="68" ht="32" customHeight="1">
      <x:c r="A68" s="200" t="str">
        <x:v>O01 | Financed baseline</x:v>
      </x:c>
      <x:c r="B68" s="200" t="str">
        <x:v>Property Ownership Calculator</x:v>
      </x:c>
      <x:c r="C68" s="200" t="str">
        <x:v>interest</x:v>
      </x:c>
      <x:c r="D68" s="262" t="n">
        <x:v>17633.25139872307</x:v>
      </x:c>
      <x:c r="E68" s="262" t="n">
        <x:v>17633.25139872307</x:v>
      </x:c>
      <x:c r="F68" s="199" t="str">
        <x:v>PASS</x:v>
      </x:c>
      <x:c r="G68" s="200"/>
    </x:row>
    <x:row r="69" ht="32" customHeight="1">
      <x:c r="A69" s="200" t="str">
        <x:v>O01 | Financed baseline</x:v>
      </x:c>
      <x:c r="B69" s="200" t="str">
        <x:v>Property Ownership Calculator</x:v>
      </x:c>
      <x:c r="C69" s="200" t="str">
        <x:v>balance</x:v>
      </x:c>
      <x:c r="D69" s="262" t="n">
        <x:v>259702.4113568242</x:v>
      </x:c>
      <x:c r="E69" s="262" t="n">
        <x:v>259702.4113568242</x:v>
      </x:c>
      <x:c r="F69" s="199" t="str">
        <x:v>PASS</x:v>
      </x:c>
      <x:c r="G69" s="200"/>
    </x:row>
    <x:row r="70" ht="32" customHeight="1">
      <x:c r="A70" s="200" t="str">
        <x:v>O02 | Lower basis + higher revenue</x:v>
      </x:c>
      <x:c r="B70" s="200" t="str">
        <x:v>Property Ownership Calculator</x:v>
      </x:c>
      <x:c r="C70" s="200" t="str">
        <x:v>gross</x:v>
      </x:c>
      <x:c r="D70" s="262" t="n">
        <x:v>93600</x:v>
      </x:c>
      <x:c r="E70" s="262" t="n">
        <x:v>93600</x:v>
      </x:c>
      <x:c r="F70" s="199" t="str">
        <x:v>PASS</x:v>
      </x:c>
      <x:c r="G70" s="200"/>
    </x:row>
    <x:row r="71" ht="32" customHeight="1">
      <x:c r="A71" s="200" t="str">
        <x:v>O02 | Lower basis + higher revenue</x:v>
      </x:c>
      <x:c r="B71" s="200" t="str">
        <x:v>Property Ownership Calculator</x:v>
      </x:c>
      <x:c r="C71" s="200" t="str">
        <x:v>cf</x:v>
      </x:c>
      <x:c r="D71" s="262" t="n">
        <x:v>12649.542827215142</x:v>
      </x:c>
      <x:c r="E71" s="262" t="n">
        <x:v>12649.54282721516</x:v>
      </x:c>
      <x:c r="F71" s="199" t="str">
        <x:v>PASS</x:v>
      </x:c>
      <x:c r="G71" s="200"/>
    </x:row>
    <x:row r="72" ht="32" customHeight="1">
      <x:c r="A72" s="200" t="str">
        <x:v>O02 | Lower basis + higher revenue</x:v>
      </x:c>
      <x:c r="B72" s="200" t="str">
        <x:v>Property Ownership Calculator</x:v>
      </x:c>
      <x:c r="C72" s="200" t="str">
        <x:v>monthly</x:v>
      </x:c>
      <x:c r="D72" s="262" t="n">
        <x:v>1054.1285689345953</x:v>
      </x:c>
      <x:c r="E72" s="262" t="n">
        <x:v>1054.1285689345966</x:v>
      </x:c>
      <x:c r="F72" s="199" t="str">
        <x:v>PASS</x:v>
      </x:c>
      <x:c r="G72" s="200"/>
    </x:row>
    <x:row r="73" ht="32" customHeight="1">
      <x:c r="A73" s="200" t="str">
        <x:v>O02 | Lower basis + higher revenue</x:v>
      </x:c>
      <x:c r="B73" s="200" t="str">
        <x:v>Property Ownership Calculator</x:v>
      </x:c>
      <x:c r="C73" s="200" t="str">
        <x:v>capital</x:v>
      </x:c>
      <x:c r="D73" s="262" t="n">
        <x:v>115500</x:v>
      </x:c>
      <x:c r="E73" s="262" t="n">
        <x:v>115500</x:v>
      </x:c>
      <x:c r="F73" s="199" t="str">
        <x:v>PASS</x:v>
      </x:c>
      <x:c r="G73" s="200"/>
    </x:row>
    <x:row r="74" ht="32" customHeight="1">
      <x:c r="A74" s="200" t="str">
        <x:v>O02 | Lower basis + higher revenue</x:v>
      </x:c>
      <x:c r="B74" s="200" t="str">
        <x:v>Property Ownership Calculator</x:v>
      </x:c>
      <x:c r="C74" s="200" t="str">
        <x:v>coc</x:v>
      </x:c>
      <x:c r="D74" s="262" t="n">
        <x:v>0.10951985131788002</x:v>
      </x:c>
      <x:c r="E74" s="262" t="n">
        <x:v>0.10951985131788018</x:v>
      </x:c>
      <x:c r="F74" s="199" t="str">
        <x:v>PASS</x:v>
      </x:c>
      <x:c r="G74" s="200"/>
    </x:row>
    <x:row r="75" ht="32" customHeight="1">
      <x:c r="A75" s="200" t="str">
        <x:v>O02 | Lower basis + higher revenue</x:v>
      </x:c>
      <x:c r="B75" s="200" t="str">
        <x:v>Property Ownership Calculator</x:v>
      </x:c>
      <x:c r="C75" s="200" t="str">
        <x:v>beocc</x:v>
      </x:c>
      <x:c r="D75" s="262" t="n">
        <x:v>0.4645772086306782</x:v>
      </x:c>
      <x:c r="E75" s="262" t="n">
        <x:v>0.46457720863067786</x:v>
      </x:c>
      <x:c r="F75" s="199" t="str">
        <x:v>PASS</x:v>
      </x:c>
      <x:c r="G75" s="200"/>
    </x:row>
    <x:row r="76" ht="32" customHeight="1">
      <x:c r="A76" s="200" t="str">
        <x:v>O02 | Lower basis + higher revenue</x:v>
      </x:c>
      <x:c r="B76" s="200" t="str">
        <x:v>Property Ownership Calculator</x:v>
      </x:c>
      <x:c r="C76" s="200" t="str">
        <x:v>beadr</x:v>
      </x:c>
      <x:c r="D76" s="262" t="n">
        <x:v>255.9863037739492</x:v>
      </x:c>
      <x:c r="E76" s="262" t="n">
        <x:v>255.986303773949</x:v>
      </x:c>
      <x:c r="F76" s="199" t="str">
        <x:v>PASS</x:v>
      </x:c>
      <x:c r="G76" s="200"/>
    </x:row>
    <x:row r="77" ht="32" customHeight="1">
      <x:c r="A77" s="200" t="str">
        <x:v>O02 | Lower basis + higher revenue</x:v>
      </x:c>
      <x:c r="B77" s="200" t="str">
        <x:v>Property Ownership Calculator</x:v>
      </x:c>
      <x:c r="C77" s="200" t="str">
        <x:v>noi</x:v>
      </x:c>
      <x:c r="D77" s="262" t="n">
        <x:v>30519</x:v>
      </x:c>
      <x:c r="E77" s="262" t="n">
        <x:v>30519</x:v>
      </x:c>
      <x:c r="F77" s="199" t="str">
        <x:v>PASS</x:v>
      </x:c>
      <x:c r="G77" s="200"/>
    </x:row>
    <x:row r="78" ht="32" customHeight="1">
      <x:c r="A78" s="200" t="str">
        <x:v>O02 | Lower basis + higher revenue</x:v>
      </x:c>
      <x:c r="B78" s="200" t="str">
        <x:v>Property Ownership Calculator</x:v>
      </x:c>
      <x:c r="C78" s="200" t="str">
        <x:v>debt</x:v>
      </x:c>
      <x:c r="D78" s="262" t="n">
        <x:v>14593.457172784858</x:v>
      </x:c>
      <x:c r="E78" s="262" t="n">
        <x:v>14593.45717278484</x:v>
      </x:c>
      <x:c r="F78" s="199" t="str">
        <x:v>PASS</x:v>
      </x:c>
      <x:c r="G78" s="200"/>
    </x:row>
    <x:row r="79" ht="32" customHeight="1">
      <x:c r="A79" s="200" t="str">
        <x:v>O02 | Lower basis + higher revenue</x:v>
      </x:c>
      <x:c r="B79" s="200" t="str">
        <x:v>Property Ownership Calculator</x:v>
      </x:c>
      <x:c r="C79" s="200" t="str">
        <x:v>pmt</x:v>
      </x:c>
      <x:c r="D79" s="262" t="n">
        <x:v>1216.1214310654045</x:v>
      </x:c>
      <x:c r="E79" s="262" t="n">
        <x:v>1216.1214310654036</x:v>
      </x:c>
      <x:c r="F79" s="199" t="str">
        <x:v>PASS</x:v>
      </x:c>
      <x:c r="G79" s="200"/>
    </x:row>
    <x:row r="80" ht="32" customHeight="1">
      <x:c r="A80" s="200" t="str">
        <x:v>O02 | Lower basis + higher revenue</x:v>
      </x:c>
      <x:c r="B80" s="200" t="str">
        <x:v>Property Ownership Calculator</x:v>
      </x:c>
      <x:c r="C80" s="200" t="str">
        <x:v>principal</x:v>
      </x:c>
      <x:c r="D80" s="262" t="n">
        <x:v>1998.2776022683709</x:v>
      </x:c>
      <x:c r="E80" s="262" t="n">
        <x:v>1998.2776022683595</x:v>
      </x:c>
      <x:c r="F80" s="199" t="str">
        <x:v>PASS</x:v>
      </x:c>
      <x:c r="G80" s="200"/>
    </x:row>
    <x:row r="81" ht="32" customHeight="1">
      <x:c r="A81" s="200" t="str">
        <x:v>O02 | Lower basis + higher revenue</x:v>
      </x:c>
      <x:c r="B81" s="200" t="str">
        <x:v>Property Ownership Calculator</x:v>
      </x:c>
      <x:c r="C81" s="200" t="str">
        <x:v>interest</x:v>
      </x:c>
      <x:c r="D81" s="262" t="n">
        <x:v>12595.179570516482</x:v>
      </x:c>
      <x:c r="E81" s="262" t="n">
        <x:v>12595.179570516482</x:v>
      </x:c>
      <x:c r="F81" s="199" t="str">
        <x:v>PASS</x:v>
      </x:c>
      <x:c r="G81" s="200"/>
    </x:row>
    <x:row r="82" ht="32" customHeight="1">
      <x:c r="A82" s="200" t="str">
        <x:v>O02 | Lower basis + higher revenue</x:v>
      </x:c>
      <x:c r="B82" s="200" t="str">
        <x:v>Property Ownership Calculator</x:v>
      </x:c>
      <x:c r="C82" s="200" t="str">
        <x:v>balance</x:v>
      </x:c>
      <x:c r="D82" s="262" t="n">
        <x:v>185501.7223977316</x:v>
      </x:c>
      <x:c r="E82" s="262" t="n">
        <x:v>185501.72239773162</x:v>
      </x:c>
      <x:c r="F82" s="199" t="str">
        <x:v>PASS</x:v>
      </x:c>
      <x:c r="G82" s="200"/>
    </x:row>
    <x:row r="83" ht="32" customHeight="1">
      <x:c r="A83" s="200" t="str">
        <x:v>O03 | Zero-interest financing</x:v>
      </x:c>
      <x:c r="B83" s="200" t="str">
        <x:v>Property Ownership Calculator</x:v>
      </x:c>
      <x:c r="C83" s="200" t="str">
        <x:v>gross</x:v>
      </x:c>
      <x:c r="D83" s="262" t="n">
        <x:v>64350.00000000001</x:v>
      </x:c>
      <x:c r="E83" s="262" t="n">
        <x:v>64350.00000000001</x:v>
      </x:c>
      <x:c r="F83" s="199" t="str">
        <x:v>PASS</x:v>
      </x:c>
      <x:c r="G83" s="200"/>
    </x:row>
    <x:row r="84" ht="32" customHeight="1">
      <x:c r="A84" s="200" t="str">
        <x:v>O03 | Zero-interest financing</x:v>
      </x:c>
      <x:c r="B84" s="200" t="str">
        <x:v>Property Ownership Calculator</x:v>
      </x:c>
      <x:c r="C84" s="200" t="str">
        <x:v>cf</x:v>
      </x:c>
      <x:c r="D84" s="262" t="n">
        <x:v>3132.2500000000055</x:v>
      </x:c>
      <x:c r="E84" s="262" t="n">
        <x:v>3132.250000000005</x:v>
      </x:c>
      <x:c r="F84" s="199" t="str">
        <x:v>PASS</x:v>
      </x:c>
      <x:c r="G84" s="200"/>
    </x:row>
    <x:row r="85" ht="32" customHeight="1">
      <x:c r="A85" s="200" t="str">
        <x:v>O03 | Zero-interest financing</x:v>
      </x:c>
      <x:c r="B85" s="200" t="str">
        <x:v>Property Ownership Calculator</x:v>
      </x:c>
      <x:c r="C85" s="200" t="str">
        <x:v>monthly</x:v>
      </x:c>
      <x:c r="D85" s="262" t="n">
        <x:v>261.02083333333377</x:v>
      </x:c>
      <x:c r="E85" s="262" t="n">
        <x:v>261.02083333333377</x:v>
      </x:c>
      <x:c r="F85" s="199" t="str">
        <x:v>PASS</x:v>
      </x:c>
      <x:c r="G85" s="200"/>
    </x:row>
    <x:row r="86" ht="32" customHeight="1">
      <x:c r="A86" s="200" t="str">
        <x:v>O03 | Zero-interest financing</x:v>
      </x:c>
      <x:c r="B86" s="200" t="str">
        <x:v>Property Ownership Calculator</x:v>
      </x:c>
      <x:c r="C86" s="200" t="str">
        <x:v>capital</x:v>
      </x:c>
      <x:c r="D86" s="262" t="n">
        <x:v>140500</x:v>
      </x:c>
      <x:c r="E86" s="262" t="n">
        <x:v>140500</x:v>
      </x:c>
      <x:c r="F86" s="199" t="str">
        <x:v>PASS</x:v>
      </x:c>
      <x:c r="G86" s="200"/>
    </x:row>
    <x:row r="87" ht="32" customHeight="1">
      <x:c r="A87" s="200" t="str">
        <x:v>O03 | Zero-interest financing</x:v>
      </x:c>
      <x:c r="B87" s="200" t="str">
        <x:v>Property Ownership Calculator</x:v>
      </x:c>
      <x:c r="C87" s="200" t="str">
        <x:v>coc</x:v>
      </x:c>
      <x:c r="D87" s="262" t="n">
        <x:v>0.022293594306049862</x:v>
      </x:c>
      <x:c r="E87" s="262" t="n">
        <x:v>0.02229359430604986</x:v>
      </x:c>
      <x:c r="F87" s="199" t="str">
        <x:v>PASS</x:v>
      </x:c>
      <x:c r="G87" s="200"/>
    </x:row>
    <x:row r="88" ht="32" customHeight="1">
      <x:c r="A88" s="200" t="str">
        <x:v>O03 | Zero-interest financing</x:v>
      </x:c>
      <x:c r="B88" s="200" t="str">
        <x:v>Property Ownership Calculator</x:v>
      </x:c>
      <x:c r="C88" s="200" t="str">
        <x:v>beocc</x:v>
      </x:c>
      <x:c r="D88" s="262" t="n">
        <x:v>0.49055887655375274</x:v>
      </x:c>
      <x:c r="E88" s="262" t="n">
        <x:v>0.4905588765537527</x:v>
      </x:c>
      <x:c r="F88" s="199" t="str">
        <x:v>PASS</x:v>
      </x:c>
      <x:c r="G88" s="200"/>
    </x:row>
    <x:row r="89" ht="32" customHeight="1">
      <x:c r="A89" s="200" t="str">
        <x:v>O03 | Zero-interest financing</x:v>
      </x:c>
      <x:c r="B89" s="200" t="str">
        <x:v>Property Ownership Calculator</x:v>
      </x:c>
      <x:c r="C89" s="200" t="str">
        <x:v>beadr</x:v>
      </x:c>
      <x:c r="D89" s="262" t="n">
        <x:v>247.48792270531402</x:v>
      </x:c>
      <x:c r="E89" s="262" t="n">
        <x:v>247.48792270531402</x:v>
      </x:c>
      <x:c r="F89" s="199" t="str">
        <x:v>PASS</x:v>
      </x:c>
      <x:c r="G89" s="200"/>
    </x:row>
    <x:row r="90" ht="32" customHeight="1">
      <x:c r="A90" s="200" t="str">
        <x:v>O03 | Zero-interest financing</x:v>
      </x:c>
      <x:c r="B90" s="200" t="str">
        <x:v>Property Ownership Calculator</x:v>
      </x:c>
      <x:c r="C90" s="200" t="str">
        <x:v>noi</x:v>
      </x:c>
      <x:c r="D90" s="262" t="n">
        <x:v>14060.250000000007</x:v>
      </x:c>
      <x:c r="E90" s="262" t="n">
        <x:v>14060.250000000007</x:v>
      </x:c>
      <x:c r="F90" s="199" t="str">
        <x:v>PASS</x:v>
      </x:c>
      <x:c r="G90" s="200"/>
    </x:row>
    <x:row r="91" ht="32" customHeight="1">
      <x:c r="A91" s="200" t="str">
        <x:v>O03 | Zero-interest financing</x:v>
      </x:c>
      <x:c r="B91" s="200" t="str">
        <x:v>Property Ownership Calculator</x:v>
      </x:c>
      <x:c r="C91" s="200" t="str">
        <x:v>debt</x:v>
      </x:c>
      <x:c r="D91" s="262" t="n">
        <x:v>8750.000000000002</x:v>
      </x:c>
      <x:c r="E91" s="262" t="n">
        <x:v>8750.000000000002</x:v>
      </x:c>
      <x:c r="F91" s="199" t="str">
        <x:v>PASS</x:v>
      </x:c>
      <x:c r="G91" s="200"/>
    </x:row>
    <x:row r="92" ht="32" customHeight="1">
      <x:c r="A92" s="200" t="str">
        <x:v>O03 | Zero-interest financing</x:v>
      </x:c>
      <x:c r="B92" s="200" t="str">
        <x:v>Property Ownership Calculator</x:v>
      </x:c>
      <x:c r="C92" s="200" t="str">
        <x:v>pmt</x:v>
      </x:c>
      <x:c r="D92" s="262" t="n">
        <x:v>729.1666666666666</x:v>
      </x:c>
      <x:c r="E92" s="262" t="n">
        <x:v>729.1666666666666</x:v>
      </x:c>
      <x:c r="F92" s="199" t="str">
        <x:v>PASS</x:v>
      </x:c>
      <x:c r="G92" s="200"/>
    </x:row>
    <x:row r="93" ht="32" customHeight="1">
      <x:c r="A93" s="200" t="str">
        <x:v>O03 | Zero-interest financing</x:v>
      </x:c>
      <x:c r="B93" s="200" t="str">
        <x:v>Property Ownership Calculator</x:v>
      </x:c>
      <x:c r="C93" s="200" t="str">
        <x:v>principal</x:v>
      </x:c>
      <x:c r="D93" s="262" t="n">
        <x:v>8750.000000000002</x:v>
      </x:c>
      <x:c r="E93" s="262" t="n">
        <x:v>8750.000000000002</x:v>
      </x:c>
      <x:c r="F93" s="199" t="str">
        <x:v>PASS</x:v>
      </x:c>
      <x:c r="G93" s="200"/>
    </x:row>
    <x:row r="94" ht="32" customHeight="1">
      <x:c r="A94" s="200" t="str">
        <x:v>O03 | Zero-interest financing</x:v>
      </x:c>
      <x:c r="B94" s="200" t="str">
        <x:v>Property Ownership Calculator</x:v>
      </x:c>
      <x:c r="C94" s="200" t="str">
        <x:v>interest</x:v>
      </x:c>
      <x:c r="D94" s="262" t="n">
        <x:v>0</x:v>
      </x:c>
      <x:c r="E94" s="262" t="n">
        <x:v>0</x:v>
      </x:c>
      <x:c r="F94" s="199" t="str">
        <x:v>PASS</x:v>
      </x:c>
      <x:c r="G94" s="200"/>
    </x:row>
    <x:row r="95" ht="32" customHeight="1">
      <x:c r="A95" s="200" t="str">
        <x:v>O03 | Zero-interest financing</x:v>
      </x:c>
      <x:c r="B95" s="200" t="str">
        <x:v>Property Ownership Calculator</x:v>
      </x:c>
      <x:c r="C95" s="200" t="str">
        <x:v>balance</x:v>
      </x:c>
      <x:c r="D95" s="262" t="n">
        <x:v>253750.00000000012</x:v>
      </x:c>
      <x:c r="E95" s="262" t="n">
        <x:v>253750.00000000012</x:v>
      </x:c>
      <x:c r="F95" s="199" t="str">
        <x:v>PASS</x:v>
      </x:c>
      <x:c r="G95" s="200"/>
    </x:row>
    <x:row r="96" ht="32" customHeight="1">
      <x:c r="A96" s="200" t="str">
        <x:v>O04 | All-cash acquisition</x:v>
      </x:c>
      <x:c r="B96" s="200" t="str">
        <x:v>Property Ownership Calculator</x:v>
      </x:c>
      <x:c r="C96" s="200" t="str">
        <x:v>gross</x:v>
      </x:c>
      <x:c r="D96" s="262" t="n">
        <x:v>64350.00000000001</x:v>
      </x:c>
      <x:c r="E96" s="262" t="n">
        <x:v>64350.00000000001</x:v>
      </x:c>
      <x:c r="F96" s="199" t="str">
        <x:v>PASS</x:v>
      </x:c>
      <x:c r="G96" s="200"/>
    </x:row>
    <x:row r="97" ht="32" customHeight="1">
      <x:c r="A97" s="200" t="str">
        <x:v>O04 | All-cash acquisition</x:v>
      </x:c>
      <x:c r="B97" s="200" t="str">
        <x:v>Property Ownership Calculator</x:v>
      </x:c>
      <x:c r="C97" s="200" t="str">
        <x:v>cf</x:v>
      </x:c>
      <x:c r="D97" s="262" t="n">
        <x:v>11882.250000000007</x:v>
      </x:c>
      <x:c r="E97" s="262" t="n">
        <x:v>11882.250000000007</x:v>
      </x:c>
      <x:c r="F97" s="199" t="str">
        <x:v>PASS</x:v>
      </x:c>
      <x:c r="G97" s="200"/>
    </x:row>
    <x:row r="98" ht="32" customHeight="1">
      <x:c r="A98" s="200" t="str">
        <x:v>O04 | All-cash acquisition</x:v>
      </x:c>
      <x:c r="B98" s="200" t="str">
        <x:v>Property Ownership Calculator</x:v>
      </x:c>
      <x:c r="C98" s="200" t="str">
        <x:v>monthly</x:v>
      </x:c>
      <x:c r="D98" s="262" t="n">
        <x:v>990.1875000000006</x:v>
      </x:c>
      <x:c r="E98" s="262" t="n">
        <x:v>990.1875000000006</x:v>
      </x:c>
      <x:c r="F98" s="199" t="str">
        <x:v>PASS</x:v>
      </x:c>
      <x:c r="G98" s="200"/>
    </x:row>
    <x:row r="99" ht="32" customHeight="1">
      <x:c r="A99" s="200" t="str">
        <x:v>O04 | All-cash acquisition</x:v>
      </x:c>
      <x:c r="B99" s="200" t="str">
        <x:v>Property Ownership Calculator</x:v>
      </x:c>
      <x:c r="C99" s="200" t="str">
        <x:v>capital</x:v>
      </x:c>
      <x:c r="D99" s="262" t="n">
        <x:v>403000</x:v>
      </x:c>
      <x:c r="E99" s="262" t="n">
        <x:v>403000</x:v>
      </x:c>
      <x:c r="F99" s="199" t="str">
        <x:v>PASS</x:v>
      </x:c>
      <x:c r="G99" s="200"/>
    </x:row>
    <x:row r="100" ht="32" customHeight="1">
      <x:c r="A100" s="200" t="str">
        <x:v>O04 | All-cash acquisition</x:v>
      </x:c>
      <x:c r="B100" s="200" t="str">
        <x:v>Property Ownership Calculator</x:v>
      </x:c>
      <x:c r="C100" s="200" t="str">
        <x:v>coc</x:v>
      </x:c>
      <x:c r="D100" s="262" t="n">
        <x:v>0.029484491315136495</x:v>
      </x:c>
      <x:c r="E100" s="262" t="n">
        <x:v>0.029484491315136495</x:v>
      </x:c>
      <x:c r="F100" s="199" t="str">
        <x:v>PASS</x:v>
      </x:c>
      <x:c r="G100" s="200"/>
    </x:row>
    <x:row r="101" ht="32" customHeight="1">
      <x:c r="A101" s="200" t="str">
        <x:v>O04 | All-cash acquisition</x:v>
      </x:c>
      <x:c r="B101" s="200" t="str">
        <x:v>Property Ownership Calculator</x:v>
      </x:c>
      <x:c r="C101" s="200" t="str">
        <x:v>beocc</x:v>
      </x:c>
      <x:c r="D101" s="262" t="n">
        <x:v>0.32450896669513235</x:v>
      </x:c>
      <x:c r="E101" s="262" t="n">
        <x:v>0.3245089666951323</x:v>
      </x:c>
      <x:c r="F101" s="199" t="str">
        <x:v>PASS</x:v>
      </x:c>
      <x:c r="G101" s="200"/>
    </x:row>
    <x:row r="102" ht="32" customHeight="1">
      <x:c r="A102" s="200" t="str">
        <x:v>O04 | All-cash acquisition</x:v>
      </x:c>
      <x:c r="B102" s="200" t="str">
        <x:v>Property Ownership Calculator</x:v>
      </x:c>
      <x:c r="C102" s="200" t="str">
        <x:v>beadr</x:v>
      </x:c>
      <x:c r="D102" s="262" t="n">
        <x:v>170.63241106719366</x:v>
      </x:c>
      <x:c r="E102" s="262" t="n">
        <x:v>170.6324110671937</x:v>
      </x:c>
      <x:c r="F102" s="199" t="str">
        <x:v>PASS</x:v>
      </x:c>
      <x:c r="G102" s="200"/>
    </x:row>
    <x:row r="103" ht="32" customHeight="1">
      <x:c r="A103" s="200" t="str">
        <x:v>O04 | All-cash acquisition</x:v>
      </x:c>
      <x:c r="B103" s="200" t="str">
        <x:v>Property Ownership Calculator</x:v>
      </x:c>
      <x:c r="C103" s="200" t="str">
        <x:v>noi</x:v>
      </x:c>
      <x:c r="D103" s="262" t="n">
        <x:v>14060.250000000007</x:v>
      </x:c>
      <x:c r="E103" s="262" t="n">
        <x:v>14060.250000000007</x:v>
      </x:c>
      <x:c r="F103" s="199" t="str">
        <x:v>PASS</x:v>
      </x:c>
      <x:c r="G103" s="200"/>
    </x:row>
    <x:row r="104" ht="32" customHeight="1">
      <x:c r="A104" s="200" t="str">
        <x:v>O04 | All-cash acquisition</x:v>
      </x:c>
      <x:c r="B104" s="200" t="str">
        <x:v>Property Ownership Calculator</x:v>
      </x:c>
      <x:c r="C104" s="200" t="str">
        <x:v>debt</x:v>
      </x:c>
      <x:c r="D104" s="262" t="n">
        <x:v>0</x:v>
      </x:c>
      <x:c r="E104" s="262" t="n">
        <x:v>0</x:v>
      </x:c>
      <x:c r="F104" s="199" t="str">
        <x:v>PASS</x:v>
      </x:c>
      <x:c r="G104" s="200"/>
    </x:row>
    <x:row r="105" ht="32" customHeight="1">
      <x:c r="A105" s="200" t="str">
        <x:v>O04 | All-cash acquisition</x:v>
      </x:c>
      <x:c r="B105" s="200" t="str">
        <x:v>Property Ownership Calculator</x:v>
      </x:c>
      <x:c r="C105" s="200" t="str">
        <x:v>pmt</x:v>
      </x:c>
      <x:c r="D105" s="262" t="n">
        <x:v>0</x:v>
      </x:c>
      <x:c r="E105" s="262" t="n">
        <x:v>0</x:v>
      </x:c>
      <x:c r="F105" s="199" t="str">
        <x:v>PASS</x:v>
      </x:c>
      <x:c r="G105" s="200"/>
    </x:row>
    <x:row r="106" ht="32" customHeight="1">
      <x:c r="A106" s="200" t="str">
        <x:v>O04 | All-cash acquisition</x:v>
      </x:c>
      <x:c r="B106" s="200" t="str">
        <x:v>Property Ownership Calculator</x:v>
      </x:c>
      <x:c r="C106" s="200" t="str">
        <x:v>principal</x:v>
      </x:c>
      <x:c r="D106" s="262" t="n">
        <x:v>0</x:v>
      </x:c>
      <x:c r="E106" s="262" t="n">
        <x:v>0</x:v>
      </x:c>
      <x:c r="F106" s="199" t="str">
        <x:v>PASS</x:v>
      </x:c>
      <x:c r="G106" s="200"/>
    </x:row>
    <x:row r="107" ht="32" customHeight="1">
      <x:c r="A107" s="200" t="str">
        <x:v>O04 | All-cash acquisition</x:v>
      </x:c>
      <x:c r="B107" s="200" t="str">
        <x:v>Property Ownership Calculator</x:v>
      </x:c>
      <x:c r="C107" s="200" t="str">
        <x:v>interest</x:v>
      </x:c>
      <x:c r="D107" s="262" t="n">
        <x:v>0</x:v>
      </x:c>
      <x:c r="E107" s="262" t="n">
        <x:v>0</x:v>
      </x:c>
      <x:c r="F107" s="199" t="str">
        <x:v>PASS</x:v>
      </x:c>
      <x:c r="G107" s="200"/>
    </x:row>
    <x:row r="108" ht="32" customHeight="1">
      <x:c r="A108" s="200" t="str">
        <x:v>O04 | All-cash acquisition</x:v>
      </x:c>
      <x:c r="B108" s="200" t="str">
        <x:v>Property Ownership Calculator</x:v>
      </x:c>
      <x:c r="C108" s="200" t="str">
        <x:v>balance</x:v>
      </x:c>
      <x:c r="D108" s="262" t="n">
        <x:v>0</x:v>
      </x:c>
      <x:c r="E108" s="262" t="n">
        <x:v>0</x:v>
      </x:c>
      <x:c r="F108" s="199" t="str">
        <x:v>PASS</x:v>
      </x:c>
      <x:c r="G108" s="200"/>
    </x:row>
    <x:row r="109" ht="32" customHeight="1">
      <x:c r="A109" s="200" t="str">
        <x:v>O05 | Dollar down payment</x:v>
      </x:c>
      <x:c r="B109" s="200" t="str">
        <x:v>Property Ownership Calculator</x:v>
      </x:c>
      <x:c r="C109" s="200" t="str">
        <x:v>gross</x:v>
      </x:c>
      <x:c r="D109" s="262" t="n">
        <x:v>64350.00000000001</x:v>
      </x:c>
      <x:c r="E109" s="262" t="n">
        <x:v>64350.00000000001</x:v>
      </x:c>
      <x:c r="F109" s="199" t="str">
        <x:v>PASS</x:v>
      </x:c>
      <x:c r="G109" s="200"/>
    </x:row>
    <x:row r="110" ht="32" customHeight="1">
      <x:c r="A110" s="200" t="str">
        <x:v>O05 | Dollar down payment</x:v>
      </x:c>
      <x:c r="B110" s="200" t="str">
        <x:v>Property Ownership Calculator</x:v>
      </x:c>
      <x:c r="C110" s="200" t="str">
        <x:v>cf</x:v>
      </x:c>
      <x:c r="D110" s="262" t="n">
        <x:v>-5629.898607341816</x:v>
      </x:c>
      <x:c r="E110" s="262" t="n">
        <x:v>-5629.898607341802</x:v>
      </x:c>
      <x:c r="F110" s="199" t="str">
        <x:v>PASS</x:v>
      </x:c>
      <x:c r="G110" s="200"/>
    </x:row>
    <x:row r="111" ht="32" customHeight="1">
      <x:c r="A111" s="200" t="str">
        <x:v>O05 | Dollar down payment</x:v>
      </x:c>
      <x:c r="B111" s="200" t="str">
        <x:v>Property Ownership Calculator</x:v>
      </x:c>
      <x:c r="C111" s="200" t="str">
        <x:v>monthly</x:v>
      </x:c>
      <x:c r="D111" s="262" t="n">
        <x:v>-469.1582172784847</x:v>
      </x:c>
      <x:c r="E111" s="262" t="n">
        <x:v>-469.1582172784835</x:v>
      </x:c>
      <x:c r="F111" s="199" t="str">
        <x:v>PASS</x:v>
      </x:c>
      <x:c r="G111" s="200"/>
    </x:row>
    <x:row r="112" ht="32" customHeight="1">
      <x:c r="A112" s="200" t="str">
        <x:v>O05 | Dollar down payment</x:v>
      </x:c>
      <x:c r="B112" s="200" t="str">
        <x:v>Property Ownership Calculator</x:v>
      </x:c>
      <x:c r="C112" s="200" t="str">
        <x:v>capital</x:v>
      </x:c>
      <x:c r="D112" s="262" t="n">
        <x:v>178000</x:v>
      </x:c>
      <x:c r="E112" s="262" t="n">
        <x:v>178000</x:v>
      </x:c>
      <x:c r="F112" s="199" t="str">
        <x:v>PASS</x:v>
      </x:c>
      <x:c r="G112" s="200"/>
    </x:row>
    <x:row r="113" ht="32" customHeight="1">
      <x:c r="A113" s="200" t="str">
        <x:v>O05 | Dollar down payment</x:v>
      </x:c>
      <x:c r="B113" s="200" t="str">
        <x:v>Property Ownership Calculator</x:v>
      </x:c>
      <x:c r="C113" s="200" t="str">
        <x:v>coc</x:v>
      </x:c>
      <x:c r="D113" s="262" t="n">
        <x:v>-0.03162864386147088</x:v>
      </x:c>
      <x:c r="E113" s="262" t="n">
        <x:v>-0.031628643861470795</x:v>
      </x:c>
      <x:c r="F113" s="199" t="str">
        <x:v>PASS</x:v>
      </x:c>
      <x:c r="G113" s="200"/>
    </x:row>
    <x:row r="114" ht="32" customHeight="1">
      <x:c r="A114" s="200" t="str">
        <x:v>O05 | Dollar down payment</x:v>
      </x:c>
      <x:c r="B114" s="200" t="str">
        <x:v>Property Ownership Calculator</x:v>
      </x:c>
      <x:c r="C114" s="200" t="str">
        <x:v>beocc</x:v>
      </x:c>
      <x:c r="D114" s="262" t="n">
        <x:v>0.6568393321442607</x:v>
      </x:c>
      <x:c r="E114" s="262" t="n">
        <x:v>0.6568393321442604</x:v>
      </x:c>
      <x:c r="F114" s="199" t="str">
        <x:v>PASS</x:v>
      </x:c>
      <x:c r="G114" s="200"/>
    </x:row>
    <x:row r="115" ht="32" customHeight="1">
      <x:c r="A115" s="200" t="str">
        <x:v>O05 | Dollar down payment</x:v>
      </x:c>
      <x:c r="B115" s="200" t="str">
        <x:v>Property Ownership Calculator</x:v>
      </x:c>
      <x:c r="C115" s="200" t="str">
        <x:v>beadr</x:v>
      </x:c>
      <x:c r="D115" s="262" t="n">
        <x:v>324.4501414786282</x:v>
      </x:c>
      <x:c r="E115" s="262" t="n">
        <x:v>324.4501414786281</x:v>
      </x:c>
      <x:c r="F115" s="199" t="str">
        <x:v>PASS</x:v>
      </x:c>
      <x:c r="G115" s="200"/>
    </x:row>
    <x:row r="116" ht="32" customHeight="1">
      <x:c r="A116" s="200" t="str">
        <x:v>O05 | Dollar down payment</x:v>
      </x:c>
      <x:c r="B116" s="200" t="str">
        <x:v>Property Ownership Calculator</x:v>
      </x:c>
      <x:c r="C116" s="200" t="str">
        <x:v>noi</x:v>
      </x:c>
      <x:c r="D116" s="262" t="n">
        <x:v>14060.250000000007</x:v>
      </x:c>
      <x:c r="E116" s="262" t="n">
        <x:v>14060.250000000007</x:v>
      </x:c>
      <x:c r="F116" s="199" t="str">
        <x:v>PASS</x:v>
      </x:c>
      <x:c r="G116" s="200"/>
    </x:row>
    <x:row r="117" ht="32" customHeight="1">
      <x:c r="A117" s="200" t="str">
        <x:v>O05 | Dollar down payment</x:v>
      </x:c>
      <x:c r="B117" s="200" t="str">
        <x:v>Property Ownership Calculator</x:v>
      </x:c>
      <x:c r="C117" s="200" t="str">
        <x:v>debt</x:v>
      </x:c>
      <x:c r="D117" s="262" t="n">
        <x:v>17512.148607341824</x:v>
      </x:c>
      <x:c r="E117" s="262" t="n">
        <x:v>17512.14860734181</x:v>
      </x:c>
      <x:c r="F117" s="199" t="str">
        <x:v>PASS</x:v>
      </x:c>
      <x:c r="G117" s="200"/>
    </x:row>
    <x:row r="118" ht="32" customHeight="1">
      <x:c r="A118" s="200" t="str">
        <x:v>O05 | Dollar down payment</x:v>
      </x:c>
      <x:c r="B118" s="200" t="str">
        <x:v>Property Ownership Calculator</x:v>
      </x:c>
      <x:c r="C118" s="200" t="str">
        <x:v>pmt</x:v>
      </x:c>
      <x:c r="D118" s="262" t="n">
        <x:v>1459.3457172784854</x:v>
      </x:c>
      <x:c r="E118" s="262" t="n">
        <x:v>1459.3457172784845</x:v>
      </x:c>
      <x:c r="F118" s="199" t="str">
        <x:v>PASS</x:v>
      </x:c>
      <x:c r="G118" s="200"/>
    </x:row>
    <x:row r="119" ht="32" customHeight="1">
      <x:c r="A119" s="200" t="str">
        <x:v>O05 | Dollar down payment</x:v>
      </x:c>
      <x:c r="B119" s="200" t="str">
        <x:v>Property Ownership Calculator</x:v>
      </x:c>
      <x:c r="C119" s="200" t="str">
        <x:v>principal</x:v>
      </x:c>
      <x:c r="D119" s="262" t="n">
        <x:v>2397.9331227220437</x:v>
      </x:c>
      <x:c r="E119" s="262" t="n">
        <x:v>2397.9331227220314</x:v>
      </x:c>
      <x:c r="F119" s="199" t="str">
        <x:v>PASS</x:v>
      </x:c>
      <x:c r="G119" s="200"/>
    </x:row>
    <x:row r="120" ht="32" customHeight="1">
      <x:c r="A120" s="200" t="str">
        <x:v>O05 | Dollar down payment</x:v>
      </x:c>
      <x:c r="B120" s="200" t="str">
        <x:v>Property Ownership Calculator</x:v>
      </x:c>
      <x:c r="C120" s="200" t="str">
        <x:v>interest</x:v>
      </x:c>
      <x:c r="D120" s="262" t="n">
        <x:v>15114.215484619779</x:v>
      </x:c>
      <x:c r="E120" s="262" t="n">
        <x:v>15114.215484619783</x:v>
      </x:c>
      <x:c r="F120" s="199" t="str">
        <x:v>PASS</x:v>
      </x:c>
      <x:c r="G120" s="200"/>
    </x:row>
    <x:row r="121" ht="32" customHeight="1">
      <x:c r="A121" s="200" t="str">
        <x:v>O05 | Dollar down payment</x:v>
      </x:c>
      <x:c r="B121" s="200" t="str">
        <x:v>Property Ownership Calculator</x:v>
      </x:c>
      <x:c r="C121" s="200" t="str">
        <x:v>balance</x:v>
      </x:c>
      <x:c r="D121" s="262" t="n">
        <x:v>222602.06687727798</x:v>
      </x:c>
      <x:c r="E121" s="262" t="n">
        <x:v>222602.066877278</x:v>
      </x:c>
      <x:c r="F121" s="199" t="str">
        <x:v>PASS</x:v>
      </x:c>
      <x:c r="G121" s="200"/>
    </x:row>
    <x:row r="122" ht="32" customHeight="1">
      <x:c r="A122" s="200" t="str">
        <x:v>O06 | Zero available nights</x:v>
      </x:c>
      <x:c r="B122" s="200" t="str">
        <x:v>Property Ownership Calculator</x:v>
      </x:c>
      <x:c r="C122" s="200" t="str">
        <x:v>gross</x:v>
      </x:c>
      <x:c r="D122" s="262" t="n">
        <x:v>0</x:v>
      </x:c>
      <x:c r="E122" s="262" t="n">
        <x:v>0</x:v>
      </x:c>
      <x:c r="F122" s="199" t="str">
        <x:v>PASS</x:v>
      </x:c>
      <x:c r="G122" s="200"/>
    </x:row>
    <x:row r="123" ht="32" customHeight="1">
      <x:c r="A123" s="200" t="str">
        <x:v>O06 | Zero available nights</x:v>
      </x:c>
      <x:c r="B123" s="200" t="str">
        <x:v>Property Ownership Calculator</x:v>
      </x:c>
      <x:c r="C123" s="200" t="str">
        <x:v>cf</x:v>
      </x:c>
      <x:c r="D123" s="262" t="n">
        <x:v>-37530.840041898795</x:v>
      </x:c>
      <x:c r="E123" s="262" t="n">
        <x:v>-37530.84004189877</x:v>
      </x:c>
      <x:c r="F123" s="199" t="str">
        <x:v>PASS</x:v>
      </x:c>
      <x:c r="G123" s="200"/>
    </x:row>
    <x:row r="124" ht="32" customHeight="1">
      <x:c r="A124" s="200" t="str">
        <x:v>O06 | Zero available nights</x:v>
      </x:c>
      <x:c r="B124" s="200" t="str">
        <x:v>Property Ownership Calculator</x:v>
      </x:c>
      <x:c r="C124" s="200" t="str">
        <x:v>monthly</x:v>
      </x:c>
      <x:c r="D124" s="262" t="n">
        <x:v>-3127.5700034915662</x:v>
      </x:c>
      <x:c r="E124" s="262" t="n">
        <x:v>-3127.5700034915644</x:v>
      </x:c>
      <x:c r="F124" s="199" t="str">
        <x:v>PASS</x:v>
      </x:c>
      <x:c r="G124" s="200"/>
    </x:row>
    <x:row r="125" ht="32" customHeight="1">
      <x:c r="A125" s="200" t="str">
        <x:v>O06 | Zero available nights</x:v>
      </x:c>
      <x:c r="B125" s="200" t="str">
        <x:v>Property Ownership Calculator</x:v>
      </x:c>
      <x:c r="C125" s="200" t="str">
        <x:v>capital</x:v>
      </x:c>
      <x:c r="D125" s="262" t="n">
        <x:v>140500</x:v>
      </x:c>
      <x:c r="E125" s="262" t="n">
        <x:v>140500</x:v>
      </x:c>
      <x:c r="F125" s="199" t="str">
        <x:v>PASS</x:v>
      </x:c>
      <x:c r="G125" s="200"/>
    </x:row>
    <x:row r="126" ht="32" customHeight="1">
      <x:c r="A126" s="200" t="str">
        <x:v>O06 | Zero available nights</x:v>
      </x:c>
      <x:c r="B126" s="200" t="str">
        <x:v>Property Ownership Calculator</x:v>
      </x:c>
      <x:c r="C126" s="200" t="str">
        <x:v>coc</x:v>
      </x:c>
      <x:c r="D126" s="262" t="n">
        <x:v>-0.26712341666831885</x:v>
      </x:c>
      <x:c r="E126" s="262" t="n">
        <x:v>-0.2671234166683187</x:v>
      </x:c>
      <x:c r="F126" s="199" t="str">
        <x:v>PASS</x:v>
      </x:c>
      <x:c r="G126" s="200"/>
    </x:row>
    <x:row r="127" ht="32" customHeight="1">
      <x:c r="A127" s="200" t="str">
        <x:v>O06 | Zero available nights</x:v>
      </x:c>
      <x:c r="B127" s="200" t="str">
        <x:v>Property Ownership Calculator</x:v>
      </x:c>
      <x:c r="C127" s="200" t="str">
        <x:v>beocc</x:v>
      </x:c>
      <x:c r="D127" s="262" t="str">
        <x:v>N/M</x:v>
      </x:c>
      <x:c r="E127" s="262" t="str">
        <x:v>N/M</x:v>
      </x:c>
      <x:c r="F127" s="199" t="str">
        <x:v>PASS</x:v>
      </x:c>
      <x:c r="G127" s="200"/>
    </x:row>
    <x:row r="128" ht="32" customHeight="1">
      <x:c r="A128" s="200" t="str">
        <x:v>O06 | Zero available nights</x:v>
      </x:c>
      <x:c r="B128" s="200" t="str">
        <x:v>Property Ownership Calculator</x:v>
      </x:c>
      <x:c r="C128" s="200" t="str">
        <x:v>beadr</x:v>
      </x:c>
      <x:c r="D128" s="262" t="str">
        <x:v>N/M</x:v>
      </x:c>
      <x:c r="E128" s="262" t="str">
        <x:v>N/M</x:v>
      </x:c>
      <x:c r="F128" s="199" t="str">
        <x:v>PASS</x:v>
      </x:c>
      <x:c r="G128" s="200"/>
    </x:row>
    <x:row r="129" ht="32" customHeight="1">
      <x:c r="A129" s="200" t="str">
        <x:v>O06 | Zero available nights</x:v>
      </x:c>
      <x:c r="B129" s="200" t="str">
        <x:v>Property Ownership Calculator</x:v>
      </x:c>
      <x:c r="C129" s="200" t="str">
        <x:v>noi</x:v>
      </x:c>
      <x:c r="D129" s="262" t="n">
        <x:v>-17100</x:v>
      </x:c>
      <x:c r="E129" s="262" t="n">
        <x:v>-17100</x:v>
      </x:c>
      <x:c r="F129" s="199" t="str">
        <x:v>PASS</x:v>
      </x:c>
      <x:c r="G129" s="200"/>
    </x:row>
    <x:row r="130" ht="32" customHeight="1">
      <x:c r="A130" s="200" t="str">
        <x:v>O06 | Zero available nights</x:v>
      </x:c>
      <x:c r="B130" s="200" t="str">
        <x:v>Property Ownership Calculator</x:v>
      </x:c>
      <x:c r="C130" s="200" t="str">
        <x:v>debt</x:v>
      </x:c>
      <x:c r="D130" s="262" t="n">
        <x:v>20430.840041898795</x:v>
      </x:c>
      <x:c r="E130" s="262" t="n">
        <x:v>20430.840041898777</x:v>
      </x:c>
      <x:c r="F130" s="199" t="str">
        <x:v>PASS</x:v>
      </x:c>
      <x:c r="G130" s="200"/>
    </x:row>
    <x:row r="131" ht="32" customHeight="1">
      <x:c r="A131" s="200" t="str">
        <x:v>O06 | Zero available nights</x:v>
      </x:c>
      <x:c r="B131" s="200" t="str">
        <x:v>Property Ownership Calculator</x:v>
      </x:c>
      <x:c r="C131" s="200" t="str">
        <x:v>pmt</x:v>
      </x:c>
      <x:c r="D131" s="262" t="n">
        <x:v>1702.5700034915662</x:v>
      </x:c>
      <x:c r="E131" s="262" t="n">
        <x:v>1702.570003491565</x:v>
      </x:c>
      <x:c r="F131" s="199" t="str">
        <x:v>PASS</x:v>
      </x:c>
      <x:c r="G131" s="200"/>
    </x:row>
    <x:row r="132" ht="32" customHeight="1">
      <x:c r="A132" s="200" t="str">
        <x:v>O06 | Zero available nights</x:v>
      </x:c>
      <x:c r="B132" s="200" t="str">
        <x:v>Property Ownership Calculator</x:v>
      </x:c>
      <x:c r="C132" s="200" t="str">
        <x:v>principal</x:v>
      </x:c>
      <x:c r="D132" s="262" t="n">
        <x:v>2797.5886431757212</x:v>
      </x:c>
      <x:c r="E132" s="262" t="n">
        <x:v>2797.588643175707</x:v>
      </x:c>
      <x:c r="F132" s="199" t="str">
        <x:v>PASS</x:v>
      </x:c>
      <x:c r="G132" s="200"/>
    </x:row>
    <x:row r="133" ht="32" customHeight="1">
      <x:c r="A133" s="200" t="str">
        <x:v>O06 | Zero available nights</x:v>
      </x:c>
      <x:c r="B133" s="200" t="str">
        <x:v>Property Ownership Calculator</x:v>
      </x:c>
      <x:c r="C133" s="200" t="str">
        <x:v>interest</x:v>
      </x:c>
      <x:c r="D133" s="262" t="n">
        <x:v>17633.25139872307</x:v>
      </x:c>
      <x:c r="E133" s="262" t="n">
        <x:v>17633.25139872307</x:v>
      </x:c>
      <x:c r="F133" s="199" t="str">
        <x:v>PASS</x:v>
      </x:c>
      <x:c r="G133" s="200"/>
    </x:row>
    <x:row r="134" ht="32" customHeight="1">
      <x:c r="A134" s="200" t="str">
        <x:v>O06 | Zero available nights</x:v>
      </x:c>
      <x:c r="B134" s="200" t="str">
        <x:v>Property Ownership Calculator</x:v>
      </x:c>
      <x:c r="C134" s="200" t="str">
        <x:v>balance</x:v>
      </x:c>
      <x:c r="D134" s="262" t="n">
        <x:v>259702.4113568242</x:v>
      </x:c>
      <x:c r="E134" s="262" t="n">
        <x:v>259702.4113568242</x:v>
      </x:c>
      <x:c r="F134" s="199" t="str">
        <x:v>PASS</x:v>
      </x:c>
      <x:c r="G134" s="200"/>
    </x:row>
    <x:row r="135" ht="32" customHeight="1">
      <x:c r="A135" s="200" t="str">
        <x:v>O07 | Gross management + fees</x:v>
      </x:c>
      <x:c r="B135" s="200" t="str">
        <x:v>Property Ownership Calculator</x:v>
      </x:c>
      <x:c r="C135" s="200" t="str">
        <x:v>gross</x:v>
      </x:c>
      <x:c r="D135" s="262" t="n">
        <x:v>66330.00000000001</x:v>
      </x:c>
      <x:c r="E135" s="262" t="n">
        <x:v>66330</x:v>
      </x:c>
      <x:c r="F135" s="199" t="str">
        <x:v>PASS</x:v>
      </x:c>
      <x:c r="G135" s="200"/>
    </x:row>
    <x:row r="136" ht="32" customHeight="1">
      <x:c r="A136" s="200" t="str">
        <x:v>O07 | Gross management + fees</x:v>
      </x:c>
      <x:c r="B136" s="200" t="str">
        <x:v>Property Ownership Calculator</x:v>
      </x:c>
      <x:c r="C136" s="200" t="str">
        <x:v>cf</x:v>
      </x:c>
      <x:c r="D136" s="262" t="n">
        <x:v>-11241.39004189879</x:v>
      </x:c>
      <x:c r="E136" s="262" t="n">
        <x:v>-11241.39004189878</x:v>
      </x:c>
      <x:c r="F136" s="199" t="str">
        <x:v>PASS</x:v>
      </x:c>
      <x:c r="G136" s="200"/>
    </x:row>
    <x:row r="137" ht="32" customHeight="1">
      <x:c r="A137" s="200" t="str">
        <x:v>O07 | Gross management + fees</x:v>
      </x:c>
      <x:c r="B137" s="200" t="str">
        <x:v>Property Ownership Calculator</x:v>
      </x:c>
      <x:c r="C137" s="200" t="str">
        <x:v>monthly</x:v>
      </x:c>
      <x:c r="D137" s="262" t="n">
        <x:v>-936.7825034915659</x:v>
      </x:c>
      <x:c r="E137" s="262" t="n">
        <x:v>-936.782503491565</x:v>
      </x:c>
      <x:c r="F137" s="199" t="str">
        <x:v>PASS</x:v>
      </x:c>
      <x:c r="G137" s="200"/>
    </x:row>
    <x:row r="138" ht="32" customHeight="1">
      <x:c r="A138" s="200" t="str">
        <x:v>O07 | Gross management + fees</x:v>
      </x:c>
      <x:c r="B138" s="200" t="str">
        <x:v>Property Ownership Calculator</x:v>
      </x:c>
      <x:c r="C138" s="200" t="str">
        <x:v>capital</x:v>
      </x:c>
      <x:c r="D138" s="262" t="n">
        <x:v>140500</x:v>
      </x:c>
      <x:c r="E138" s="262" t="n">
        <x:v>140500</x:v>
      </x:c>
      <x:c r="F138" s="199" t="str">
        <x:v>PASS</x:v>
      </x:c>
      <x:c r="G138" s="200"/>
    </x:row>
    <x:row r="139" ht="32" customHeight="1">
      <x:c r="A139" s="200" t="str">
        <x:v>O07 | Gross management + fees</x:v>
      </x:c>
      <x:c r="B139" s="200" t="str">
        <x:v>Property Ownership Calculator</x:v>
      </x:c>
      <x:c r="C139" s="200" t="str">
        <x:v>coc</x:v>
      </x:c>
      <x:c r="D139" s="262" t="n">
        <x:v>-0.0800098935366462</x:v>
      </x:c>
      <x:c r="E139" s="262" t="n">
        <x:v>-0.08000989353664612</x:v>
      </x:c>
      <x:c r="F139" s="199" t="str">
        <x:v>PASS</x:v>
      </x:c>
      <x:c r="G139" s="200"/>
    </x:row>
    <x:row r="140" ht="32" customHeight="1">
      <x:c r="A140" s="200" t="str">
        <x:v>O07 | Gross management + fees</x:v>
      </x:c>
      <x:c r="B140" s="200" t="str">
        <x:v>Property Ownership Calculator</x:v>
      </x:c>
      <x:c r="C140" s="200" t="str">
        <x:v>beocc</x:v>
      </x:c>
      <x:c r="D140" s="262" t="n">
        <x:v>0.7851804439820665</x:v>
      </x:c>
      <x:c r="E140" s="262" t="n">
        <x:v>0.785180443982066</x:v>
      </x:c>
      <x:c r="F140" s="199" t="str">
        <x:v>PASS</x:v>
      </x:c>
      <x:c r="G140" s="200"/>
    </x:row>
    <x:row r="141" ht="32" customHeight="1">
      <x:c r="A141" s="200" t="str">
        <x:v>O07 | Gross management + fees</x:v>
      </x:c>
      <x:c r="B141" s="200" t="str">
        <x:v>Property Ownership Calculator</x:v>
      </x:c>
      <x:c r="C141" s="200" t="str">
        <x:v>beadr</x:v>
      </x:c>
      <x:c r="D141" s="262" t="n">
        <x:v>379.1737562959762</x:v>
      </x:c>
      <x:c r="E141" s="262" t="n">
        <x:v>379.17375629597603</x:v>
      </x:c>
      <x:c r="F141" s="199" t="str">
        <x:v>PASS</x:v>
      </x:c>
      <x:c r="G141" s="200"/>
    </x:row>
    <x:row r="142" ht="32" customHeight="1">
      <x:c r="A142" s="200" t="str">
        <x:v>O07 | Gross management + fees</x:v>
      </x:c>
      <x:c r="B142" s="200" t="str">
        <x:v>Property Ownership Calculator</x:v>
      </x:c>
      <x:c r="C142" s="200" t="str">
        <x:v>noi</x:v>
      </x:c>
      <x:c r="D142" s="262" t="n">
        <x:v>11367.450000000004</x:v>
      </x:c>
      <x:c r="E142" s="262" t="n">
        <x:v>11367.449999999997</x:v>
      </x:c>
      <x:c r="F142" s="199" t="str">
        <x:v>PASS</x:v>
      </x:c>
      <x:c r="G142" s="200"/>
    </x:row>
    <x:row r="143" ht="32" customHeight="1">
      <x:c r="A143" s="200" t="str">
        <x:v>O07 | Gross management + fees</x:v>
      </x:c>
      <x:c r="B143" s="200" t="str">
        <x:v>Property Ownership Calculator</x:v>
      </x:c>
      <x:c r="C143" s="200" t="str">
        <x:v>debt</x:v>
      </x:c>
      <x:c r="D143" s="262" t="n">
        <x:v>20430.840041898795</x:v>
      </x:c>
      <x:c r="E143" s="262" t="n">
        <x:v>20430.840041898777</x:v>
      </x:c>
      <x:c r="F143" s="199" t="str">
        <x:v>PASS</x:v>
      </x:c>
      <x:c r="G143" s="200"/>
    </x:row>
    <x:row r="144" ht="32" customHeight="1">
      <x:c r="A144" s="200" t="str">
        <x:v>O07 | Gross management + fees</x:v>
      </x:c>
      <x:c r="B144" s="200" t="str">
        <x:v>Property Ownership Calculator</x:v>
      </x:c>
      <x:c r="C144" s="200" t="str">
        <x:v>pmt</x:v>
      </x:c>
      <x:c r="D144" s="262" t="n">
        <x:v>1702.5700034915662</x:v>
      </x:c>
      <x:c r="E144" s="262" t="n">
        <x:v>1702.570003491565</x:v>
      </x:c>
      <x:c r="F144" s="199" t="str">
        <x:v>PASS</x:v>
      </x:c>
      <x:c r="G144" s="200"/>
    </x:row>
    <x:row r="145" ht="32" customHeight="1">
      <x:c r="A145" s="200" t="str">
        <x:v>O07 | Gross management + fees</x:v>
      </x:c>
      <x:c r="B145" s="200" t="str">
        <x:v>Property Ownership Calculator</x:v>
      </x:c>
      <x:c r="C145" s="200" t="str">
        <x:v>principal</x:v>
      </x:c>
      <x:c r="D145" s="262" t="n">
        <x:v>2797.5886431757212</x:v>
      </x:c>
      <x:c r="E145" s="262" t="n">
        <x:v>2797.588643175707</x:v>
      </x:c>
      <x:c r="F145" s="199" t="str">
        <x:v>PASS</x:v>
      </x:c>
      <x:c r="G145" s="200"/>
    </x:row>
    <x:row r="146" ht="32" customHeight="1">
      <x:c r="A146" s="200" t="str">
        <x:v>O07 | Gross management + fees</x:v>
      </x:c>
      <x:c r="B146" s="200" t="str">
        <x:v>Property Ownership Calculator</x:v>
      </x:c>
      <x:c r="C146" s="200" t="str">
        <x:v>interest</x:v>
      </x:c>
      <x:c r="D146" s="262" t="n">
        <x:v>17633.25139872307</x:v>
      </x:c>
      <x:c r="E146" s="262" t="n">
        <x:v>17633.25139872307</x:v>
      </x:c>
      <x:c r="F146" s="199" t="str">
        <x:v>PASS</x:v>
      </x:c>
      <x:c r="G146" s="200"/>
    </x:row>
    <x:row r="147" ht="32" customHeight="1">
      <x:c r="A147" s="200" t="str">
        <x:v>O07 | Gross management + fees</x:v>
      </x:c>
      <x:c r="B147" s="200" t="str">
        <x:v>Property Ownership Calculator</x:v>
      </x:c>
      <x:c r="C147" s="200" t="str">
        <x:v>balance</x:v>
      </x:c>
      <x:c r="D147" s="262" t="n">
        <x:v>259702.4113568242</x:v>
      </x:c>
      <x:c r="E147" s="262" t="n">
        <x:v>259702.4113568242</x:v>
      </x:c>
      <x:c r="F147" s="199" t="str">
        <x:v>PASS</x:v>
      </x:c>
      <x:c r="G147" s="200"/>
    </x:row>
    <x:row r="148" ht="32" customHeight="1">
      <x:c r="A148" s="200" t="str">
        <x:v>A07 | Monthly weighted seasonality</x:v>
      </x:c>
      <x:c r="B148" s="200" t="str">
        <x:v>Arbitrage Calculator</x:v>
      </x:c>
      <x:c r="C148" s="200" t="str">
        <x:v>gross</x:v>
      </x:c>
      <x:c r="D148" s="262" t="n">
        <x:v>78325</x:v>
      </x:c>
      <x:c r="E148" s="262" t="n">
        <x:v>78325</x:v>
      </x:c>
      <x:c r="F148" s="199" t="str">
        <x:v>PASS</x:v>
      </x:c>
      <x:c r="G148" s="200"/>
    </x:row>
    <x:row r="149" ht="32" customHeight="1">
      <x:c r="A149" s="200" t="str">
        <x:v>A07 | Monthly weighted seasonality</x:v>
      </x:c>
      <x:c r="B149" s="200" t="str">
        <x:v>Arbitrage Calculator</x:v>
      </x:c>
      <x:c r="C149" s="200" t="str">
        <x:v>cf</x:v>
      </x:c>
      <x:c r="D149" s="262" t="n">
        <x:v>5798.375</x:v>
      </x:c>
      <x:c r="E149" s="262" t="n">
        <x:v>5798.375</x:v>
      </x:c>
      <x:c r="F149" s="199" t="str">
        <x:v>PASS</x:v>
      </x:c>
      <x:c r="G149" s="200"/>
    </x:row>
    <x:row r="150" ht="32" customHeight="1">
      <x:c r="A150" s="200" t="str">
        <x:v>A07 | Monthly weighted seasonality</x:v>
      </x:c>
      <x:c r="B150" s="200" t="str">
        <x:v>Arbitrage Calculator</x:v>
      </x:c>
      <x:c r="C150" s="200" t="str">
        <x:v>monthly</x:v>
      </x:c>
      <x:c r="D150" s="262" t="n">
        <x:v>483.1979166666667</x:v>
      </x:c>
      <x:c r="E150" s="262" t="n">
        <x:v>483.1979166666667</x:v>
      </x:c>
      <x:c r="F150" s="199" t="str">
        <x:v>PASS</x:v>
      </x:c>
      <x:c r="G150" s="200"/>
    </x:row>
    <x:row r="151" ht="32" customHeight="1">
      <x:c r="A151" s="200" t="str">
        <x:v>A07 | Monthly weighted seasonality</x:v>
      </x:c>
      <x:c r="B151" s="200" t="str">
        <x:v>Arbitrage Calculator</x:v>
      </x:c>
      <x:c r="C151" s="200" t="str">
        <x:v>capital</x:v>
      </x:c>
      <x:c r="D151" s="262" t="n">
        <x:v>31010</x:v>
      </x:c>
      <x:c r="E151" s="262" t="n">
        <x:v>31010</x:v>
      </x:c>
      <x:c r="F151" s="199" t="str">
        <x:v>PASS</x:v>
      </x:c>
      <x:c r="G151" s="200"/>
    </x:row>
    <x:row r="152" ht="32" customHeight="1">
      <x:c r="A152" s="200" t="str">
        <x:v>A07 | Monthly weighted seasonality</x:v>
      </x:c>
      <x:c r="B152" s="200" t="str">
        <x:v>Arbitrage Calculator</x:v>
      </x:c>
      <x:c r="C152" s="200" t="str">
        <x:v>coc</x:v>
      </x:c>
      <x:c r="D152" s="262" t="n">
        <x:v>0.18698403740728797</x:v>
      </x:c>
      <x:c r="E152" s="262" t="n">
        <x:v>0.18698403740728797</x:v>
      </x:c>
      <x:c r="F152" s="199" t="str">
        <x:v>PASS</x:v>
      </x:c>
      <x:c r="G152" s="200"/>
    </x:row>
    <x:row r="153" ht="32" customHeight="1">
      <x:c r="A153" s="200" t="str">
        <x:v>A07 | Monthly weighted seasonality</x:v>
      </x:c>
      <x:c r="B153" s="200" t="str">
        <x:v>Arbitrage Calculator</x:v>
      </x:c>
      <x:c r="C153" s="200" t="str">
        <x:v>beocc</x:v>
      </x:c>
      <x:c r="D153" s="262" t="n">
        <x:v>0.5121822736588699</x:v>
      </x:c>
      <x:c r="E153" s="262" t="n">
        <x:v>0.5121822736588698</x:v>
      </x:c>
      <x:c r="F153" s="199" t="str">
        <x:v>PASS</x:v>
      </x:c>
      <x:c r="G153" s="200"/>
    </x:row>
    <x:row r="154" ht="32" customHeight="1">
      <x:c r="A154" s="200" t="str">
        <x:v>A07 | Monthly weighted seasonality</x:v>
      </x:c>
      <x:c r="B154" s="200" t="str">
        <x:v>Arbitrage Calculator</x:v>
      </x:c>
      <x:c r="C154" s="200" t="str">
        <x:v>beadr</x:v>
      </x:c>
      <x:c r="D154" s="262" t="n">
        <x:v>275.4977413418103</x:v>
      </x:c>
      <x:c r="E154" s="262" t="n">
        <x:v>275.49774134181035</x:v>
      </x:c>
      <x:c r="F154" s="199" t="str">
        <x:v>PASS</x:v>
      </x:c>
      <x:c r="G154" s="200"/>
    </x:row>
    <x:row r="155" ht="32" customHeight="1">
      <x:c r="A155" s="200" t="str">
        <x:v>B01 | Algebraic break-even</x:v>
      </x:c>
      <x:c r="B155" s="200" t="str">
        <x:v>Arbitrage Calculator</x:v>
      </x:c>
      <x:c r="C155" s="200" t="str">
        <x:v>annual CF at break-even occupancy</x:v>
      </x:c>
      <x:c r="D155" s="262" t="n">
        <x:v>0</x:v>
      </x:c>
      <x:c r="E155" s="262" t="n">
        <x:v>0</x:v>
      </x:c>
      <x:c r="F155" s="199" t="str">
        <x:v>PASS</x:v>
      </x:c>
      <x:c r="G155" s="200"/>
    </x:row>
    <x:row r="156" ht="32" customHeight="1">
      <x:c r="A156" s="200" t="str">
        <x:v>B01 | Algebraic break-even</x:v>
      </x:c>
      <x:c r="B156" s="200" t="str">
        <x:v>Property Ownership Calculator</x:v>
      </x:c>
      <x:c r="C156" s="200" t="str">
        <x:v>annual CF at break-even occupancy</x:v>
      </x:c>
      <x:c r="D156" s="262" t="n">
        <x:v>0</x:v>
      </x:c>
      <x:c r="E156" s="262" t="n">
        <x:v>-1.1368683772161603e-11</x:v>
      </x:c>
      <x:c r="F156" s="199" t="str">
        <x:v>PASS</x:v>
      </x:c>
      <x:c r="G156" s="200"/>
    </x:row>
    <x:row r="157" ht="32" customHeight="1">
      <x:c r="A157" s="200" t="str">
        <x:v>G01 | All permissions confirmed</x:v>
      </x:c>
      <x:c r="B157" s="200" t="str">
        <x:v>Arbitrage Calculator</x:v>
      </x:c>
      <x:c r="C157" s="200" t="str">
        <x:v>permission gate</x:v>
      </x:c>
      <x:c r="D157" s="262" t="str">
        <x:v>CONFIRMED BY USER</x:v>
      </x:c>
      <x:c r="E157" s="262" t="str">
        <x:v>CONFIRMED BY USER</x:v>
      </x:c>
      <x:c r="F157" s="199" t="str">
        <x:v>PASS</x:v>
      </x:c>
      <x:c r="G157" s="200"/>
    </x:row>
    <x:row r="158" ht="32" customHeight="1">
      <x:c r="A158" s="200" t="str">
        <x:v>G02 | Permission denied</x:v>
      </x:c>
      <x:c r="B158" s="200" t="str">
        <x:v>Arbitrage Calculator</x:v>
      </x:c>
      <x:c r="C158" s="200" t="str">
        <x:v>permission gate</x:v>
      </x:c>
      <x:c r="D158" s="262" t="str">
        <x:v>STOP</x:v>
      </x:c>
      <x:c r="E158" s="262" t="str">
        <x:v>STOP</x:v>
      </x:c>
      <x:c r="F158" s="199" t="str">
        <x:v>PASS</x:v>
      </x:c>
      <x:c r="G158" s="200"/>
    </x:row>
    <x:row r="159" ht="32" customHeight="1">
      <x:c r="A159" s="200" t="str">
        <x:v>G01 | All permissions confirmed</x:v>
      </x:c>
      <x:c r="B159" s="200" t="str">
        <x:v>Property Ownership Calculator</x:v>
      </x:c>
      <x:c r="C159" s="200" t="str">
        <x:v>permission gate</x:v>
      </x:c>
      <x:c r="D159" s="262" t="str">
        <x:v>CONFIRMED BY USER</x:v>
      </x:c>
      <x:c r="E159" s="262" t="str">
        <x:v>CONFIRMED BY USER</x:v>
      </x:c>
      <x:c r="F159" s="199" t="str">
        <x:v>PASS</x:v>
      </x:c>
      <x:c r="G159" s="200"/>
    </x:row>
    <x:row r="160" ht="32" customHeight="1">
      <x:c r="A160" s="200" t="str">
        <x:v>G02 | Permission denied</x:v>
      </x:c>
      <x:c r="B160" s="200" t="str">
        <x:v>Property Ownership Calculator</x:v>
      </x:c>
      <x:c r="C160" s="200" t="str">
        <x:v>permission gate</x:v>
      </x:c>
      <x:c r="D160" s="262" t="str">
        <x:v>STOP</x:v>
      </x:c>
      <x:c r="E160" s="262" t="str">
        <x:v>STOP</x:v>
      </x:c>
      <x:c r="F160" s="199" t="str">
        <x:v>PASS</x:v>
      </x:c>
      <x:c r="G160" s="200"/>
    </x:row>
    <x:row r="161" ht="32" customHeight="1">
      <x:c r="A161" s="200" t="str">
        <x:v>T01 | Eligible 100% bonus</x:v>
      </x:c>
      <x:c r="B161" s="200" t="str">
        <x:v>Tax Cost Segregation</x:v>
      </x:c>
      <x:c r="C161" s="200" t="str">
        <x:v>first-year depreciation</x:v>
      </x:c>
      <x:c r="D161" s="262" t="n">
        <x:v>78700.8547008547</x:v>
      </x:c>
      <x:c r="E161" s="262" t="n">
        <x:v>78700.8547008547</x:v>
      </x:c>
      <x:c r="F161" s="199" t="str">
        <x:v>PASS</x:v>
      </x:c>
      <x:c r="G161" s="200"/>
    </x:row>
    <x:row r="162" ht="32" customHeight="1">
      <x:c r="A162" s="200" t="str">
        <x:v>T01 | Eligible 100% bonus</x:v>
      </x:c>
      <x:c r="B162" s="200" t="str">
        <x:v>Tax Cost Segregation</x:v>
      </x:c>
      <x:c r="C162" s="200" t="str">
        <x:v>incremental federal benefit</x:v>
      </x:c>
      <x:c r="D162" s="262" t="n">
        <x:v>25184.273504273504</x:v>
      </x:c>
      <x:c r="E162" s="262" t="n">
        <x:v>25184.273504273504</x:v>
      </x:c>
      <x:c r="F162" s="199" t="str">
        <x:v>PASS</x:v>
      </x:c>
      <x:c r="G162" s="200"/>
    </x:row>
    <x:row r="163" ht="32" customHeight="1">
      <x:c r="A163" s="200" t="str">
        <x:v>T02 | $10k loss-use cap</x:v>
      </x:c>
      <x:c r="B163" s="200" t="str">
        <x:v>Tax Cost Segregation</x:v>
      </x:c>
      <x:c r="C163" s="200" t="str">
        <x:v>incremental federal benefit</x:v>
      </x:c>
      <x:c r="D163" s="262" t="n">
        <x:v>2056.6395524086197</x:v>
      </x:c>
      <x:c r="E163" s="262" t="n">
        <x:v>2056.6395524086197</x:v>
      </x:c>
      <x:c r="F163" s="199" t="str">
        <x:v>PASS</x:v>
      </x:c>
      <x:c r="G163" s="200"/>
    </x:row>
    <x:row r="164" ht="32" customHeight="1">
      <x:c r="A164" s="200" t="str">
        <x:v>T03 | MP not supported</x:v>
      </x:c>
      <x:c r="B164" s="200" t="str">
        <x:v>Tax Cost Segregation</x:v>
      </x:c>
      <x:c r="C164" s="200" t="str">
        <x:v>current other-income loss offset</x:v>
      </x:c>
      <x:c r="D164" s="262" t="n">
        <x:v>0</x:v>
      </x:c>
      <x:c r="E164" s="262" t="n">
        <x:v>0</x:v>
      </x:c>
      <x:c r="F164" s="199" t="str">
        <x:v>PASS</x:v>
      </x:c>
      <x:c r="G164" s="200"/>
    </x:row>
    <x:row r="165" ht="32" customHeight="1">
      <x:c r="A165" s="200" t="str">
        <x:v>T04 | Bonus not confirmed</x:v>
      </x:c>
      <x:c r="B165" s="200" t="str">
        <x:v>Tax Cost Segregation</x:v>
      </x:c>
      <x:c r="C165" s="200" t="str">
        <x:v>effective bonus rate</x:v>
      </x:c>
      <x:c r="D165" s="262" t="n">
        <x:v>0</x:v>
      </x:c>
      <x:c r="E165" s="262" t="n">
        <x:v>0</x:v>
      </x:c>
      <x:c r="F165" s="199" t="str">
        <x:v>PASS</x:v>
      </x:c>
      <x:c r="G165" s="200"/>
    </x:row>
    <x:row r="166" ht="32" customHeight="1">
      <x:c r="A166" s="200" t="str">
        <x:v>T05 | Independent state deduction</x:v>
      </x:c>
      <x:c r="B166" s="200" t="str">
        <x:v>Tax Cost Segregation</x:v>
      </x:c>
      <x:c r="C166" s="200" t="str">
        <x:v>incremental state benefit</x:v>
      </x:c>
      <x:c r="D166" s="262" t="n">
        <x:v>71.34993006384684</x:v>
      </x:c>
      <x:c r="E166" s="262" t="n">
        <x:v>71.34993006384684</x:v>
      </x:c>
      <x:c r="F166" s="199" t="str">
        <x:v>PASS</x:v>
      </x:c>
      <x:c r="G166" s="200"/>
    </x:row>
    <x:row r="167" ht="27" customHeight="1">
      <x:c r="A167" s="6"/>
      <x:c r="B167" s="6"/>
      <x:c r="C167" s="6"/>
      <x:c r="D167" s="6"/>
      <x:c r="E167" s="6"/>
      <x:c r="F167" s="6"/>
      <x:c r="G167" s="6"/>
    </x:row>
    <x:row r="168" ht="27" customHeight="1">
      <x:c r="A168" s="6"/>
      <x:c r="B168" s="6"/>
      <x:c r="C168" s="6"/>
      <x:c r="D168" s="6"/>
      <x:c r="E168" s="6"/>
      <x:c r="F168" s="6"/>
      <x:c r="G168" s="6"/>
    </x:row>
    <x:row r="169" ht="27" customHeight="1">
      <x:c r="A169" s="6"/>
      <x:c r="B169" s="6"/>
      <x:c r="C169" s="6"/>
      <x:c r="D169" s="6"/>
      <x:c r="E169" s="6"/>
      <x:c r="F169" s="6"/>
      <x:c r="G169" s="6"/>
    </x:row>
    <x:row r="170" ht="27" customHeight="1">
      <x:c r="A170" s="6"/>
      <x:c r="B170" s="6"/>
      <x:c r="C170" s="6"/>
      <x:c r="D170" s="6"/>
      <x:c r="E170" s="6"/>
      <x:c r="F170" s="6"/>
      <x:c r="G170" s="6"/>
    </x:row>
    <x:row r="171" ht="27" customHeight="1">
      <x:c r="A171" s="6"/>
      <x:c r="B171" s="6"/>
      <x:c r="C171" s="6"/>
      <x:c r="D171" s="6"/>
      <x:c r="E171" s="6"/>
      <x:c r="F171" s="6"/>
      <x:c r="G171" s="6"/>
    </x:row>
    <x:row r="172" ht="27" customHeight="1">
      <x:c r="A172" s="6"/>
      <x:c r="B172" s="6"/>
      <x:c r="C172" s="6"/>
      <x:c r="D172" s="6"/>
      <x:c r="E172" s="6"/>
      <x:c r="F172" s="6"/>
      <x:c r="G172" s="6"/>
    </x:row>
    <x:row r="173" ht="27" customHeight="1">
      <x:c r="A173" s="6"/>
      <x:c r="B173" s="6"/>
      <x:c r="C173" s="6"/>
      <x:c r="D173" s="6"/>
      <x:c r="E173" s="6"/>
      <x:c r="F173" s="6"/>
      <x:c r="G173" s="6"/>
    </x:row>
    <x:row r="174" ht="27" customHeight="1">
      <x:c r="A174" s="6"/>
      <x:c r="B174" s="6"/>
      <x:c r="C174" s="6"/>
      <x:c r="D174" s="6"/>
      <x:c r="E174" s="6"/>
      <x:c r="F174" s="6"/>
      <x:c r="G174" s="6"/>
    </x:row>
    <x:row r="175" ht="27" customHeight="1">
      <x:c r="A175" s="6"/>
      <x:c r="B175" s="6"/>
      <x:c r="C175" s="6"/>
      <x:c r="D175" s="6"/>
      <x:c r="E175" s="6"/>
      <x:c r="F175" s="6"/>
      <x:c r="G175" s="6"/>
    </x:row>
    <x:row r="176" ht="27" customHeight="1">
      <x:c r="A176" s="6"/>
      <x:c r="B176" s="6"/>
      <x:c r="C176" s="6"/>
      <x:c r="D176" s="6"/>
      <x:c r="E176" s="6"/>
      <x:c r="F176" s="6"/>
      <x:c r="G176" s="6"/>
    </x:row>
    <x:row r="177" ht="27" customHeight="1">
      <x:c r="A177" s="6"/>
      <x:c r="B177" s="6"/>
      <x:c r="C177" s="6"/>
      <x:c r="D177" s="6"/>
      <x:c r="E177" s="6"/>
      <x:c r="F177" s="6"/>
      <x:c r="G177" s="6"/>
    </x:row>
    <x:row r="178" ht="27" customHeight="1">
      <x:c r="A178" s="6"/>
      <x:c r="B178" s="6"/>
      <x:c r="C178" s="6"/>
      <x:c r="D178" s="6"/>
      <x:c r="E178" s="6"/>
      <x:c r="F178" s="6"/>
      <x:c r="G178" s="6"/>
    </x:row>
    <x:row r="179" ht="27" customHeight="1">
      <x:c r="A179" s="6"/>
      <x:c r="B179" s="6"/>
      <x:c r="C179" s="6"/>
      <x:c r="D179" s="6"/>
      <x:c r="E179" s="6"/>
      <x:c r="F179" s="6"/>
      <x:c r="G179" s="6"/>
    </x:row>
    <x:row r="180" ht="27" customHeight="1">
      <x:c r="A180" s="6"/>
      <x:c r="B180" s="6"/>
      <x:c r="C180" s="6"/>
      <x:c r="D180" s="6"/>
      <x:c r="E180" s="6"/>
      <x:c r="F180" s="6"/>
      <x:c r="G180" s="6"/>
    </x:row>
  </x:sheetData>
  <x:mergeCells>
    <x:mergeCell ref="A1:G2"/>
    <x:mergeCell ref="A3:G4"/>
    <x:mergeCell ref="A6:F8"/>
    <x:mergeCell ref="A10:F12"/>
  </x:mergeCells>
  <x:pageMargins left="0.7" right="0.7" top="0.75" bottom="0.75" header="0.3" footer="0.3"/>
  <x:tableParts count="1">
    <x:tablePart xmlns:r="http://schemas.openxmlformats.org/officeDocument/2006/relationships" r:id="R748dc4aa2d8f456a"/>
  </x:tableParts>
</x:worksheet>
</file>

<file path=xl/worksheets/sheet11.xml><?xml version="1.0" encoding="utf-8"?>
<x:worksheet xmlns:x="http://schemas.openxmlformats.org/spreadsheetml/2006/main">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s>
  <x:sheetData>
    <x:row r="1">
      <x:c r="A1" s="323" t="str">
        <x:v>STR Deal Analysis</x:v>
      </x:c>
      <x:c r="B1" s="323"/>
      <x:c r="C1" s="323"/>
      <x:c r="D1" s="323"/>
      <x:c r="E1" s="323"/>
      <x:c r="F1" s="323"/>
      <x:c r="G1" s="323"/>
      <x:c r="H1" s="323"/>
    </x:row>
    <x:row r="2">
      <x:c r="A2" s="323"/>
      <x:c r="B2" s="323"/>
      <x:c r="C2" s="323"/>
      <x:c r="D2" s="323"/>
      <x:c r="E2" s="323"/>
      <x:c r="F2" s="323"/>
      <x:c r="G2" s="323"/>
      <x:c r="H2" s="323"/>
    </x:row>
    <x:row r="3">
      <x:c r="A3" s="324" t="str">
        <x:v>Compare the two operating models first. Then open the model tab to change assumptions.</x:v>
      </x:c>
      <x:c r="B3" s="324"/>
      <x:c r="C3" s="324"/>
      <x:c r="D3" s="324"/>
      <x:c r="E3" s="324"/>
      <x:c r="F3" s="324"/>
      <x:c r="G3" s="324"/>
      <x:c r="H3" s="324"/>
    </x:row>
    <x:row r="4">
      <x:c r="A4" s="321"/>
      <x:c r="B4" s="321"/>
      <x:c r="C4" s="321"/>
      <x:c r="D4" s="321"/>
      <x:c r="E4" s="321"/>
      <x:c r="F4" s="321"/>
      <x:c r="G4" s="321"/>
      <x:c r="H4" s="321"/>
    </x:row>
    <x:row r="5">
      <x:c r="A5" s="326" t="str">
        <x:v>RENTAL ARBITRAGE</x:v>
      </x:c>
      <x:c r="B5" s="326"/>
      <x:c r="C5" s="326"/>
      <x:c r="D5" s="326"/>
      <x:c r="E5" s="326" t="str">
        <x:v>PROPERTY OWNERSHIP</x:v>
      </x:c>
      <x:c r="F5" s="326"/>
      <x:c r="G5" s="326"/>
      <x:c r="H5" s="326"/>
    </x:row>
    <x:row r="6">
      <x:c r="A6" s="321"/>
      <x:c r="B6" s="321"/>
      <x:c r="C6" s="321"/>
      <x:c r="D6" s="321"/>
      <x:c r="E6" s="321"/>
      <x:c r="F6" s="321"/>
      <x:c r="G6" s="321"/>
      <x:c r="H6" s="321"/>
    </x:row>
    <x:row r="7" ht="26" customHeight="1">
      <x:c r="A7" s="327" t="str">
        <x:v>Monthly gross revenue</x:v>
      </x:c>
      <x:c r="B7" s="327"/>
      <x:c r="C7" s="330" t="n">
        <x:f>'Arbitrage Calculator'!B6</x:f>
        <x:v>5362.500000000001</x:v>
      </x:c>
      <x:c r="D7" s="330"/>
      <x:c r="E7" s="327" t="str">
        <x:v>Annual NOI</x:v>
      </x:c>
      <x:c r="F7" s="327"/>
      <x:c r="G7" s="330" t="n">
        <x:f>'Property Ownership Calculator'!B6</x:f>
        <x:v>14060.250000000007</x:v>
      </x:c>
      <x:c r="H7" s="330"/>
    </x:row>
    <x:row r="8">
      <x:c r="A8" s="321"/>
      <x:c r="B8" s="321"/>
      <x:c r="C8" s="331"/>
      <x:c r="D8" s="331"/>
      <x:c r="E8" s="321"/>
      <x:c r="F8" s="321"/>
      <x:c r="G8" s="331"/>
      <x:c r="H8" s="331"/>
    </x:row>
    <x:row r="9" ht="26" customHeight="1">
      <x:c r="A9" s="327" t="str">
        <x:v>Monthly cash flow</x:v>
      </x:c>
      <x:c r="B9" s="327"/>
      <x:c r="C9" s="330" t="n">
        <x:f>'Arbitrage Calculator'!B7</x:f>
        <x:v>-260.3124999999994</x:v>
      </x:c>
      <x:c r="D9" s="330"/>
      <x:c r="E9" s="327" t="str">
        <x:v>Monthly cash flow</x:v>
      </x:c>
      <x:c r="F9" s="327"/>
      <x:c r="G9" s="330" t="n">
        <x:f>'Property Ownership Calculator'!B7</x:f>
        <x:v>-712.3825034915641</x:v>
      </x:c>
      <x:c r="H9" s="330"/>
    </x:row>
    <x:row r="10">
      <x:c r="A10" s="321"/>
      <x:c r="B10" s="321"/>
      <x:c r="C10" s="331"/>
      <x:c r="D10" s="331"/>
      <x:c r="E10" s="321"/>
      <x:c r="F10" s="321"/>
      <x:c r="G10" s="331"/>
      <x:c r="H10" s="331"/>
    </x:row>
    <x:row r="11" ht="26" customHeight="1">
      <x:c r="A11" s="327" t="str">
        <x:v>Startup capital</x:v>
      </x:c>
      <x:c r="B11" s="327"/>
      <x:c r="C11" s="330" t="n">
        <x:f>'Arbitrage Calculator'!B8</x:f>
        <x:v>31010</x:v>
      </x:c>
      <x:c r="D11" s="330"/>
      <x:c r="E11" s="327" t="str">
        <x:v>Initial cash</x:v>
      </x:c>
      <x:c r="F11" s="327"/>
      <x:c r="G11" s="330" t="n">
        <x:f>'Property Ownership Calculator'!B8</x:f>
        <x:v>140500</x:v>
      </x:c>
      <x:c r="H11" s="330"/>
    </x:row>
    <x:row r="12">
      <x:c r="A12" s="321"/>
      <x:c r="B12" s="321"/>
      <x:c r="C12" s="321"/>
      <x:c r="D12" s="321"/>
      <x:c r="E12" s="321"/>
      <x:c r="F12" s="321"/>
      <x:c r="G12" s="321"/>
      <x:c r="H12" s="321"/>
    </x:row>
    <x:row r="13" ht="26" customHeight="1">
      <x:c r="A13" s="327" t="str">
        <x:v>Cash-on-cash</x:v>
      </x:c>
      <x:c r="B13" s="327"/>
      <x:c r="C13" s="332" t="n">
        <x:f>'Arbitrage Calculator'!F6</x:f>
        <x:v>-0.10073363431151218</x:v>
      </x:c>
      <x:c r="D13" s="332"/>
      <x:c r="E13" s="327" t="str">
        <x:v>Cash-on-cash</x:v>
      </x:c>
      <x:c r="F13" s="327"/>
      <x:c r="G13" s="332" t="n">
        <x:f>'Property Ownership Calculator'!F6</x:f>
        <x:v>-0.06084405723771366</x:v>
      </x:c>
      <x:c r="H13" s="332"/>
    </x:row>
    <x:row r="14">
      <x:c r="A14" s="321"/>
      <x:c r="B14" s="321"/>
      <x:c r="C14" s="333"/>
      <x:c r="D14" s="333"/>
      <x:c r="E14" s="321"/>
      <x:c r="F14" s="321"/>
      <x:c r="G14" s="333"/>
      <x:c r="H14" s="333"/>
    </x:row>
    <x:row r="15" ht="26" customHeight="1">
      <x:c r="A15" s="327" t="str">
        <x:v>Break-even occupancy</x:v>
      </x:c>
      <x:c r="B15" s="327"/>
      <x:c r="C15" s="332" t="n">
        <x:f>'Arbitrage Calculator'!F7</x:f>
        <x:v>0.5983739837398373</x:v>
      </x:c>
      <x:c r="D15" s="332"/>
      <x:c r="E15" s="327" t="str">
        <x:v>Break-even occupancy</x:v>
      </x:c>
      <x:c r="F15" s="327"/>
      <x:c r="G15" s="332" t="n">
        <x:f>'Property Ownership Calculator'!F7</x:f>
        <x:v>0.7122277263857817</x:v>
      </x:c>
      <x:c r="H15" s="332"/>
    </x:row>
    <x:row r="16">
      <x:c r="A16" s="321"/>
      <x:c r="B16" s="321"/>
      <x:c r="C16" s="321"/>
      <x:c r="D16" s="321"/>
      <x:c r="E16" s="321"/>
      <x:c r="F16" s="321"/>
      <x:c r="G16" s="321"/>
      <x:c r="H16" s="321"/>
    </x:row>
    <x:row r="17" ht="26" customHeight="1">
      <x:c r="A17" s="327" t="str">
        <x:v>Permission gate</x:v>
      </x:c>
      <x:c r="B17" s="327"/>
      <x:c r="C17" s="329" t="str">
        <x:f>'Arbitrage Calculator'!F8</x:f>
        <x:v>HOLD</x:v>
      </x:c>
      <x:c r="D17" s="329"/>
      <x:c r="E17" s="327" t="str">
        <x:v>Permission gate</x:v>
      </x:c>
      <x:c r="F17" s="327"/>
      <x:c r="G17" s="329" t="str">
        <x:f>'Property Ownership Calculator'!F8</x:f>
        <x:v>HOLD</x:v>
      </x:c>
      <x:c r="H17" s="329"/>
    </x:row>
    <x:row r="18">
      <x:c r="A18" s="321"/>
      <x:c r="B18" s="321"/>
      <x:c r="C18" s="321"/>
      <x:c r="D18" s="321"/>
      <x:c r="E18" s="321"/>
      <x:c r="F18" s="321"/>
      <x:c r="G18" s="321"/>
      <x:c r="H18" s="321"/>
    </x:row>
    <x:row r="19">
      <x:c r="A19" s="321"/>
      <x:c r="B19" s="321"/>
      <x:c r="C19" s="321"/>
      <x:c r="D19" s="321"/>
      <x:c r="E19" s="321"/>
      <x:c r="F19" s="321"/>
      <x:c r="G19" s="321"/>
      <x:c r="H19" s="321"/>
    </x:row>
    <x:row r="20">
      <x:c r="A20" s="335" t="str">
        <x:v>HOW TO USE THIS WORKBOOK</x:v>
      </x:c>
      <x:c r="B20" s="335"/>
      <x:c r="C20" s="335"/>
      <x:c r="D20" s="335"/>
      <x:c r="E20" s="335"/>
      <x:c r="F20" s="335"/>
      <x:c r="G20" s="335"/>
      <x:c r="H20" s="335"/>
    </x:row>
    <x:row r="21">
      <x:c r="A21" s="321"/>
      <x:c r="B21" s="321"/>
      <x:c r="C21" s="321"/>
      <x:c r="D21" s="321"/>
      <x:c r="E21" s="321"/>
      <x:c r="F21" s="321"/>
      <x:c r="G21" s="321"/>
      <x:c r="H21" s="321"/>
    </x:row>
    <x:row r="22" ht="24" customHeight="1">
      <x:c r="A22" s="336" t="str">
        <x:v>1. Confirm legal permission before you underwrite returns.</x:v>
      </x:c>
      <x:c r="B22" s="336"/>
      <x:c r="C22" s="336"/>
      <x:c r="D22" s="336"/>
      <x:c r="E22" s="336"/>
      <x:c r="F22" s="336"/>
      <x:c r="G22" s="336"/>
      <x:c r="H22" s="336"/>
    </x:row>
    <x:row r="23" ht="24" customHeight="1">
      <x:c r="A23" s="336" t="str">
        <x:v>2. Replace the example assumptions in the model you actually plan to use.</x:v>
      </x:c>
      <x:c r="B23" s="336"/>
      <x:c r="C23" s="336"/>
      <x:c r="D23" s="336"/>
      <x:c r="E23" s="336"/>
      <x:c r="F23" s="336"/>
      <x:c r="G23" s="336"/>
      <x:c r="H23" s="336"/>
    </x:row>
    <x:row r="24" ht="24" customHeight="1">
      <x:c r="A24" s="336" t="str">
        <x:v>3. Review seasonality and the conservative scenario, not only annual averages.</x:v>
      </x:c>
      <x:c r="B24" s="336"/>
      <x:c r="C24" s="336"/>
      <x:c r="D24" s="336"/>
      <x:c r="E24" s="336"/>
      <x:c r="F24" s="336"/>
      <x:c r="G24" s="336"/>
      <x:c r="H24" s="336"/>
    </x:row>
    <x:row r="25" ht="24" customHeight="1">
      <x:c r="A25" s="336" t="str">
        <x:v>4. Use the tax tab only after eligibility and professional review are confirmed.</x:v>
      </x:c>
      <x:c r="B25" s="336"/>
      <x:c r="C25" s="336"/>
      <x:c r="D25" s="336"/>
      <x:c r="E25" s="336"/>
      <x:c r="F25" s="336"/>
      <x:c r="G25" s="336"/>
      <x:c r="H25" s="336"/>
    </x:row>
    <x:row r="26">
      <x:c r="A26" s="321"/>
      <x:c r="B26" s="321"/>
      <x:c r="C26" s="321"/>
      <x:c r="D26" s="321"/>
      <x:c r="E26" s="321"/>
      <x:c r="F26" s="321"/>
      <x:c r="G26" s="321"/>
      <x:c r="H26" s="321"/>
    </x:row>
    <x:row r="27">
      <x:c r="A27" s="321"/>
      <x:c r="B27" s="321"/>
      <x:c r="C27" s="321"/>
      <x:c r="D27" s="321"/>
      <x:c r="E27" s="321"/>
      <x:c r="F27" s="321"/>
      <x:c r="G27" s="321"/>
      <x:c r="H27" s="321"/>
    </x:row>
    <x:row r="28">
      <x:c r="A28" s="340" t="str">
        <x:v>Education only. The workbook organizes assumptions and due diligence. It does not approve a property, predict returns, or determine tax treatment.</x:v>
      </x:c>
      <x:c r="B28" s="340"/>
      <x:c r="C28" s="340"/>
      <x:c r="D28" s="340"/>
      <x:c r="E28" s="340"/>
      <x:c r="F28" s="340"/>
      <x:c r="G28" s="340"/>
      <x:c r="H28" s="340"/>
    </x:row>
    <x:row r="29">
      <x:c r="A29" s="340"/>
      <x:c r="B29" s="340"/>
      <x:c r="C29" s="340"/>
      <x:c r="D29" s="340"/>
      <x:c r="E29" s="340"/>
      <x:c r="F29" s="340"/>
      <x:c r="G29" s="340"/>
      <x:c r="H29" s="340"/>
    </x:row>
    <x:row r="30">
      <x:c r="A30" s="340"/>
      <x:c r="B30" s="340"/>
      <x:c r="C30" s="340"/>
      <x:c r="D30" s="340"/>
      <x:c r="E30" s="340"/>
      <x:c r="F30" s="340"/>
      <x:c r="G30" s="340"/>
      <x:c r="H30" s="340"/>
    </x:row>
    <x:row r="31">
      <x:c r="A31" s="321"/>
      <x:c r="B31" s="321"/>
      <x:c r="C31" s="321"/>
      <x:c r="D31" s="321"/>
      <x:c r="E31" s="321"/>
      <x:c r="F31" s="321"/>
      <x:c r="G31" s="321"/>
      <x:c r="H31" s="321"/>
    </x:row>
    <x:row r="32">
      <x:c r="A32" s="321"/>
      <x:c r="B32" s="321"/>
      <x:c r="C32" s="321"/>
      <x:c r="D32" s="321"/>
      <x:c r="E32" s="321"/>
      <x:c r="F32" s="321"/>
      <x:c r="G32" s="321"/>
      <x:c r="H32" s="321"/>
    </x:row>
  </x:sheetData>
  <x:mergeCells>
    <x:mergeCell ref="A1:H2"/>
    <x:mergeCell ref="A3:H3"/>
    <x:mergeCell ref="A5:D5"/>
    <x:mergeCell ref="E5:H5"/>
    <x:mergeCell ref="A7:B7"/>
    <x:mergeCell ref="C7:D7"/>
    <x:mergeCell ref="E7:F7"/>
    <x:mergeCell ref="G7:H7"/>
    <x:mergeCell ref="A9:B9"/>
    <x:mergeCell ref="C9:D9"/>
    <x:mergeCell ref="E9:F9"/>
    <x:mergeCell ref="G9:H9"/>
    <x:mergeCell ref="A11:B11"/>
    <x:mergeCell ref="C11:D11"/>
    <x:mergeCell ref="E11:F11"/>
    <x:mergeCell ref="G11:H11"/>
    <x:mergeCell ref="A13:B13"/>
    <x:mergeCell ref="C13:D13"/>
    <x:mergeCell ref="E13:F13"/>
    <x:mergeCell ref="G13:H13"/>
    <x:mergeCell ref="A15:B15"/>
    <x:mergeCell ref="C15:D15"/>
    <x:mergeCell ref="E15:F15"/>
    <x:mergeCell ref="G15:H15"/>
    <x:mergeCell ref="A17:B17"/>
    <x:mergeCell ref="C17:D17"/>
    <x:mergeCell ref="E17:F17"/>
    <x:mergeCell ref="G17:H17"/>
    <x:mergeCell ref="A20:H20"/>
    <x:mergeCell ref="A22:H22"/>
    <x:mergeCell ref="A23:H23"/>
    <x:mergeCell ref="A24:H24"/>
    <x:mergeCell ref="A25:H25"/>
    <x:mergeCell ref="A28:H30"/>
  </x:mergeCells>
  <x:pageMargins left="0.7" right="0.7" top="0.75" bottom="0.75" header="0.3" footer="0.3"/>
</x:worksheet>
</file>