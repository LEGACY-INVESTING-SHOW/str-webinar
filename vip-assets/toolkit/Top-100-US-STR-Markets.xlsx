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b96cb9dd7544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2974e412397146de"/>
    <x:sheet xmlns:r="http://schemas.openxmlformats.org/officeDocument/2006/relationships" name="100 Markets" sheetId="2" r:id="R28286d15e7f2484f"/>
    <x:sheet xmlns:r="http://schemas.openxmlformats.org/officeDocument/2006/relationships" name="Research Theses" sheetId="3" r:id="R63e8fe3654514e95"/>
    <x:sheet xmlns:r="http://schemas.openxmlformats.org/officeDocument/2006/relationships" name="Cost Benchmarks" sheetId="4" r:id="Rcc730b39544c4639"/>
    <x:sheet xmlns:r="http://schemas.openxmlformats.org/officeDocument/2006/relationships" name="Regulation" sheetId="5" r:id="R5a4b104389cd41bf"/>
    <x:sheet xmlns:r="http://schemas.openxmlformats.org/officeDocument/2006/relationships" name="Source Register" sheetId="6" r:id="R447d54e80204463c"/>
    <x:sheet xmlns:r="http://schemas.openxmlformats.org/officeDocument/2006/relationships" name="My Shortlist" sheetId="7" r:id="R88a6fcbf5a2f4c64"/>
    <x:sheet xmlns:r="http://schemas.openxmlformats.org/officeDocument/2006/relationships" name="Market Scan" sheetId="8" r:id="Rad48cf31c9184694"/>
    <x:sheet xmlns:r="http://schemas.openxmlformats.org/officeDocument/2006/relationships" name="Market Explorer" sheetId="9" r:id="R25185bcfb8144c90"/>
  </x:sheets>
</x:workbook>
</file>

<file path=xl/comments1.xml><?xml version="1.0" encoding="utf-8"?>
<x:comments xmlns:x="http://schemas.openxmlformats.org/spreadsheetml/2006/main">
  <x:authors>
    <x:author>tc={9CF12B36-9778-0C75-A1D5-11F356C36494}</x:author>
    <x:author>tc={93360AFB-F9EA-374D-5263-55193001FAD4}</x:author>
    <x:author>tc={30717EC1-A5EF-893C-0D9F-9721B332026D}</x:author>
    <x:author>tc={4A0CDB32-3FEB-E368-A277-1426066FE702}</x:author>
    <x:author>tc={422B2EB1-2DC6-291B-4007-FDBF2F12C57F}</x:author>
    <x:author>tc={E3CC93BB-9A13-5400-02FD-F953EA316E92}</x:author>
    <x:author>tc={1812FA33-9966-3EFC-2D37-5F839033A928}</x:author>
    <x:author>tc={209F2B3C-4DD1-6435-0486-907B6BB4A322}</x:author>
    <x:author>tc={05260071-2B99-482C-4D9D-D0F2B791EA7C}</x:author>
    <x:author>tc={4CA84984-7AA0-7DAA-F630-C795C8CF9313}</x:author>
    <x:author>tc={1C3DBED8-1016-5701-D1B5-B72A8C84F92F}</x:author>
    <x:author>tc={EB2704C3-F508-ABEF-04E5-66FD64CE8C86}</x:author>
    <x:author>tc={2EF1EF5C-AD2D-53B4-1910-F1486BCF7C22}</x:author>
    <x:author>tc={A3D87F33-B9E9-44DB-7C1D-0DFD1A306073}</x:author>
    <x:author>tc={6F27C89A-CB20-2D94-0690-595AA1F9048A}</x:author>
    <x:author>tc={E2B2E3CF-08AD-5DB5-AE99-2FDAE05F6FB4}</x:author>
    <x:author>tc={E8B4C388-A872-2B0D-9A5E-3358E78694E8}</x:author>
    <x:author>tc={EBEAC976-15EB-8CAE-8165-F7FD95804F2B}</x:author>
    <x:author>tc={73138649-B920-8B31-4FB4-9E483D6D0F9A}</x:author>
    <x:author>tc={8BD6AF02-B8AC-FD3A-417E-154268FAAAEA}</x:author>
    <x:author>tc={FB63F7F4-AADC-1B46-2C05-8F933F304A71}</x:author>
    <x:author>tc={02FC6724-307B-F72A-5BC6-04EBEDAA10B9}</x:author>
    <x:author>tc={20EC0B6F-4A14-E294-CB00-D632EFCC46D1}</x:author>
    <x:author>tc={25227B4D-8013-CCB2-9404-2FE56DD13229}</x:author>
    <x:author>tc={AD2FD93F-6231-F1CD-1DAC-D74069353BAC}</x:author>
    <x:author>tc={2F318904-C975-9C2D-0838-253698F13101}</x:author>
    <x:author>tc={55FA6E9B-057C-D4CC-B3AB-282CCB057721}</x:author>
    <x:author>tc={EE77EB8C-4240-6024-0074-DF833D634C14}</x:author>
    <x:author>tc={6FF48127-C68A-E11D-A549-A2FE7A1D429F}</x:author>
    <x:author>tc={7724FE9F-8C35-5D56-BB2D-2D3886C96A48}</x:author>
    <x:author>tc={EE6B7CFF-FD9C-2988-DC2D-97FF5DFE1504}</x:author>
    <x:author>tc={F83F16F1-17CD-7D0D-D6D4-EF543C9A8750}</x:author>
    <x:author>tc={EEB40DBC-3C4E-B453-3700-D2B4C67922C2}</x:author>
    <x:author>tc={A1CEC32C-10C4-5178-9BDF-0C233255DE66}</x:author>
    <x:author>tc={DD876179-F2A7-CF4D-8DB0-D000EB9F8FB8}</x:author>
    <x:author>tc={7C558BD8-83CD-09B7-B5F6-08DB6DD9FCCB}</x:author>
    <x:author>tc={CDC2B60F-A92A-4C97-FD80-41D2D8861C4E}</x:author>
    <x:author>tc={7E5C9EB2-FD25-8194-4264-FA0CFEC369A0}</x:author>
    <x:author>tc={8CE42391-33CE-2606-5EF0-A138EF5F3DF9}</x:author>
    <x:author>tc={3FBBA1E9-8569-C63C-8743-8BC9268C8D3F}</x:author>
    <x:author>tc={E23ADF19-2088-C351-E40A-42A3C1573A7B}</x:author>
    <x:author>tc={A5220E8A-0DED-CCBD-4D79-76D6F1DC57D3}</x:author>
    <x:author>tc={C1C98840-FD28-BFCC-B90C-D8A4D648217B}</x:author>
    <x:author>tc={DF2B0D91-56A1-4986-749E-56C37499C670}</x:author>
    <x:author>tc={E35597B1-1613-E71D-EAAE-EEC0C393579B}</x:author>
    <x:author>tc={D19F889B-D4BA-63CE-DEA9-32ADD54D1702}</x:author>
    <x:author>tc={3EF93E7E-06E4-2F55-2D7C-4B9ECC95EAF1}</x:author>
    <x:author>tc={DF7D3AEA-ED0B-E4D4-D246-0C01B1356269}</x:author>
    <x:author>tc={FC1173AF-C55E-3A3D-50A4-96B548930E1B}</x:author>
    <x:author>tc={F7A8B9F9-4B73-5A4C-37F0-D299F914F1A7}</x:author>
    <x:author>tc={436BB55F-0A6E-153E-85F5-91323634ED2B}</x:author>
    <x:author>tc={B158AB6F-9FAD-8B6A-8DD1-804C9F9F3F5C}</x:author>
    <x:author>tc={F0775C7F-5933-A7E3-EB78-750B3D9ECA5A}</x:author>
    <x:author>tc={6336F28B-E73E-3571-9300-059A5A7AB654}</x:author>
    <x:author>tc={E62ACF5A-0235-B499-2770-C004DC92049D}</x:author>
    <x:author>tc={3D956034-9778-7410-4AEF-1699E358A950}</x:author>
    <x:author>tc={4AEA8E10-56A3-EDBB-DAE7-CCBE83E9E6CB}</x:author>
    <x:author>tc={781A13C2-CF43-0B67-69F8-FC6ABA4E16B3}</x:author>
    <x:author>tc={26F404CE-72F4-4559-E65A-B203ABFBD42E}</x:author>
    <x:author>tc={A11C44D0-12C2-68D1-03EF-D8E9305B39B8}</x:author>
    <x:author>tc={47386A81-3261-1DBF-1FE8-D72B6CF7A38B}</x:author>
    <x:author>tc={E6028F72-6A8A-1516-365A-15163F9544AB}</x:author>
    <x:author>tc={5099B1D7-B30A-A59D-5386-79CAD9C01864}</x:author>
    <x:author>tc={528EA1C8-7882-4150-E4B8-64343CD6BE7A}</x:author>
    <x:author>tc={59CD8C4F-D704-81E3-EE92-F3280933FF7C}</x:author>
    <x:author>tc={FDCFD5A2-8DB5-DB45-6F98-9CAB90EFA64E}</x:author>
    <x:author>tc={3DB99A90-1BB5-DFB3-16E1-AC378C101689}</x:author>
    <x:author>tc={C5052F61-9D38-5CC0-53F0-CDA981639B57}</x:author>
    <x:author>tc={45411404-2E30-B74C-2550-70D942EF1D63}</x:author>
    <x:author>tc={78551CC5-C308-AB03-DFF4-1B5F44EE9595}</x:author>
    <x:author>tc={A998B222-DC36-D03C-4CE5-9ECFF85D3F1B}</x:author>
    <x:author>tc={A4EAC99A-C36D-322C-FE02-6B06632A95AA}</x:author>
    <x:author>tc={F3C9BEB1-0E37-C070-C65B-FB89A753901D}</x:author>
    <x:author>tc={49F44A15-2FC3-2496-ED5D-8E91A35AD4F8}</x:author>
    <x:author>tc={A94660FD-6465-A70F-88BA-9F0225FA367C}</x:author>
    <x:author>tc={901EA71A-90AB-00C1-9AAD-2B86F0DE4384}</x:author>
    <x:author>tc={F4AE5352-1301-1BBA-B3AF-177CCC6393B1}</x:author>
    <x:author>tc={6A425699-3960-AB0F-FDA1-CEF55361B359}</x:author>
    <x:author>tc={48A1FB96-30D8-B7E2-7677-6B144440E499}</x:author>
    <x:author>tc={067B2F62-46AD-589B-7529-42DDB55FC467}</x:author>
    <x:author>tc={563BB60D-5DFB-DDB2-E106-310F4B4A6946}</x:author>
    <x:author>tc={1423E806-CA5F-4FE9-26A1-514DB88B00F5}</x:author>
    <x:author>tc={8EADAE6F-2509-8507-FABC-712360AED2F4}</x:author>
    <x:author>tc={43F313A2-0BAB-C752-6ACD-E1194E6DA693}</x:author>
    <x:author>tc={689FDECB-8654-7764-8AA8-AFFB9AFCA3FA}</x:author>
    <x:author>tc={2266CF13-E495-A31F-3D34-20D2AA60B8B0}</x:author>
    <x:author>tc={FC99C5AB-FC3F-7928-BCA3-4AE67C781A7D}</x:author>
    <x:author>tc={722A29E1-6582-BF61-D548-C0ACF2EBB3F7}</x:author>
    <x:author>tc={506C2ECB-B143-8B50-6B60-ECA8B9BE3522}</x:author>
    <x:author>tc={403673FB-C410-A0DA-019B-9445C5E7D587}</x:author>
    <x:author>tc={FB2869CB-803F-6530-724D-F3B014038B03}</x:author>
    <x:author>tc={3B305178-277F-3AF6-77DA-D88BE3B9212C}</x:author>
    <x:author>tc={4E4468F8-68A3-A87A-E8DD-A6AF8931AC7D}</x:author>
    <x:author>tc={141F4D16-C338-A8F2-4FC3-02575E9799F8}</x:author>
    <x:author>tc={A68EAD0F-9F1C-4DFC-3E2B-CB3804504BCA}</x:author>
    <x:author>tc={51987D62-F53D-7887-100E-50C671EB709F}</x:author>
    <x:author>tc={FA9A167F-EC1F-B602-3D93-3ACFDA88DBF8}</x:author>
    <x:author>tc={EDB4B0EC-DB61-4936-12F0-3E6D29555770}</x:author>
    <x:author>tc={FCDC5C1C-6870-11BA-CC5E-5E2F75E80FB1}</x:author>
    <x:author>tc={8E0761BD-6A0A-0E4A-C2D4-1214AEDF4844}</x:author>
    <x:author>tc={756A861A-6BFD-9852-BB15-B230E97A8DC5}</x:author>
    <x:author>tc={253C73B6-E59E-F35A-83B0-6BF5AB8C54B5}</x:author>
    <x:author>tc={0C8702DD-9381-F3DC-E656-5577A466A7A9}</x:author>
    <x:author>tc={F76DFD06-BACD-B225-A4AA-6100859DD5A8}</x:author>
    <x:author>tc={EB15A480-3675-47BC-6F10-BA3030FE7EA8}</x:author>
    <x:author>tc={17B9EFF3-7687-962E-412C-ED145281903A}</x:author>
    <x:author>tc={A854961E-C11D-61EF-4ADF-4D44F9FD55CB}</x:author>
    <x:author>tc={B33A876E-9A66-B768-6C3D-2593806250E6}</x:author>
    <x:author>tc={AA3412B1-7773-7A40-9BB8-3B16B665F834}</x:author>
    <x:author>tc={FA97B982-B635-2A7B-E0DB-7B295768FD26}</x:author>
    <x:author>tc={FE0B45A8-F6E2-2F3A-0541-1B5A03CD459A}</x:author>
    <x:author>tc={F3B22BC8-18F2-3918-7DB8-67C8DC846A00}</x:author>
    <x:author>tc={156739C5-AEF6-D1F5-0974-39CEB03E4B85}</x:author>
    <x:author>tc={148F4371-DEFF-ADCA-A672-47382BC7E196}</x:author>
    <x:author>tc={3ECB2C73-B035-268F-F7D9-166FCDE11B92}</x:author>
    <x:author>tc={CA295670-DF56-A5E1-9119-4F5E48C4ECA3}</x:author>
    <x:author>tc={BBF621D5-A5E5-84C7-21AE-0A2557824026}</x:author>
    <x:author>tc={4771E0E6-974A-72AB-35F5-E16023D1FC17}</x:author>
    <x:author>tc={537E6BA5-E461-C661-5347-4A80E74FA8FE}</x:author>
    <x:author>tc={1393A07F-DD7D-C979-CB35-1686DF3CEA21}</x:author>
    <x:author>tc={15B21606-7ECB-AD78-62F2-8734D1ED01EE}</x:author>
    <x:author>tc={5CB97B61-7FEC-3A32-74A9-565AA552D141}</x:author>
    <x:author>tc={359C5ED8-815F-ED63-D23E-7516A35184F1}</x:author>
    <x:author>tc={C06ED179-3D36-80C7-1F12-B9AEFD9E638D}</x:author>
    <x:author>tc={BC6CD238-CCD4-8570-8B11-5E145054AE1B}</x:author>
    <x:author>tc={BC2235E4-E84B-F2A7-51F3-017AE30431A7}</x:author>
    <x:author>tc={15890F33-9BDD-2525-E0A5-C7F027E6137F}</x:author>
    <x:author>tc={5666D426-4FB5-F387-2EFB-20CA392E7E0B}</x:author>
    <x:author>tc={47261767-F657-FAB2-B046-885D279ECA5E}</x:author>
    <x:author>tc={B09FEA8E-0BF1-A08E-A9B1-A255F5C602E2}</x:author>
    <x:author>tc={7C3BB022-7AC6-C98A-DB97-5F60917D88B1}</x:author>
    <x:author>tc={EF6BD9C9-7A39-643F-A34C-5A8FFF1FE02A}</x:author>
    <x:author>tc={1A880F10-39D3-BB34-0D7D-A3ECB9B5F4B2}</x:author>
    <x:author>tc={7C52DA7B-440A-060E-9870-2A327D9EA402}</x:author>
    <x:author>tc={0A7544F0-FBFC-A826-8DB8-51D945D6EA53}</x:author>
    <x:author>tc={80E46042-2D86-DA5D-515C-ADECA846A117}</x:author>
    <x:author>tc={42671894-D78A-E595-F45B-CF6B47074654}</x:author>
    <x:author>tc={3A157E0A-F620-FA5E-1988-9283B05B453F}</x:author>
    <x:author>tc={22AE0088-C3AF-44EA-54A0-AB5837EA7C86}</x:author>
    <x:author>tc={44C099BE-3342-644D-2732-E0837178BFC2}</x:author>
    <x:author>tc={3A6F78E4-7DE6-6172-4A73-8DC2B7A06EC3}</x:author>
    <x:author>tc={2D8A9413-2075-60C8-6C3A-D83C1C59E30C}</x:author>
    <x:author>tc={BA7BCB7A-F18E-02CB-170B-FAC200BC8EB8}</x:author>
    <x:author>tc={CCD76E46-4FAB-7290-6D60-8B7D0CC287A6}</x:author>
    <x:author>tc={DC5C3DE6-061E-3280-19CE-ABC66D9905D8}</x:author>
    <x:author>tc={B9349BDA-F13E-ADED-1F0C-9CA692AAED08}</x:author>
    <x:author>tc={659B0AF8-6FE4-C34D-5B41-9D65FEE48C2A}</x:author>
    <x:author>tc={F1099B42-73C1-7BF6-DCB8-BC21BA4D508D}</x:author>
    <x:author>tc={61E29F5E-DB7F-C8C6-A260-42DB9C328F49}</x:author>
    <x:author>tc={1E844AE0-A0CB-426F-C8E9-B508ECA46428}</x:author>
    <x:author>tc={155F42FF-C521-BE87-5F12-3A0EE4D4EF78}</x:author>
    <x:author>tc={6D280349-650A-D1B0-3E1D-6A6A0A110456}</x:author>
    <x:author>tc={93743B9B-0A0D-BD45-907C-CA040A9BE100}</x:author>
    <x:author>tc={751A12C2-1271-28B4-0348-54F556E2B88B}</x:author>
    <x:author>tc={47D205CC-29BE-0E20-E81B-83198FB3FAD0}</x:author>
    <x:author>tc={111F944F-D6F6-0F78-BDC9-F3942A5435DC}</x:author>
    <x:author>tc={7E24030C-2277-BC77-FCF4-F94C2269EAD7}</x:author>
    <x:author>tc={242D0C65-C739-45EB-424C-62F43CFD4903}</x:author>
    <x:author>tc={15E36416-6D14-CE89-2252-48B2015DF9F6}</x:author>
    <x:author>tc={03292965-B15C-075C-8BE1-361476CA1F04}</x:author>
    <x:author>tc={07A7CEC0-C901-5E81-CC74-18C2D7632D1D}</x:author>
    <x:author>tc={61A5A47C-E9FD-FC64-7F59-C290AE0FA54B}</x:author>
    <x:author>tc={0BDC3746-0263-DD5C-B9C8-D3DF9492147E}</x:author>
    <x:author>tc={ADE84E45-F2E2-3B0B-4359-A15030352F73}</x:author>
    <x:author>tc={D1C4950D-2A7D-93B3-24F7-054162CBD4EA}</x:author>
    <x:author>tc={0392CA88-D1ED-D1E3-AA6E-0B814B4057CC}</x:author>
    <x:author>tc={899924AA-4AEF-7311-76EC-797A560A55D0}</x:author>
    <x:author>tc={E7BE21FF-0E8D-1274-AD67-E2C3446F8737}</x:author>
    <x:author>tc={59EAB994-2285-7DF5-BE98-95F8C8B5AB87}</x:author>
    <x:author>tc={6D807FDE-D2F5-8B4E-8EDA-CD177822162F}</x:author>
    <x:author>tc={3F9FAF26-8638-2068-4F2D-B976A8242791}</x:author>
    <x:author>tc={8174569D-2D07-E0E1-7ADC-13E492A9058F}</x:author>
    <x:author>tc={DD8A3347-1089-5DB4-62B7-E02AE1B0F084}</x:author>
    <x:author>tc={A4486B31-9406-7E11-28E9-41EFF7465D34}</x:author>
    <x:author>tc={972F5EF6-ABEE-B730-01C0-6E69CD54D67F}</x:author>
    <x:author>tc={A7501266-B366-694A-2327-D775922C3D34}</x:author>
    <x:author>tc={FB3B4876-F46B-94EB-B7B8-80D8A14E175C}</x:author>
    <x:author>tc={FFC5270D-F4FE-2DBC-C84B-E4FE7443F8BE}</x:author>
    <x:author>tc={B5D93EC1-91B5-4324-3537-7B92611F585A}</x:author>
    <x:author>tc={B5228B64-5C17-F6A1-D55F-7069A8115297}</x:author>
    <x:author>tc={75CB083C-A09B-D591-2C7B-E4D9D23254BF}</x:author>
    <x:author>tc={61EBF828-C7A1-70AD-2C00-78D58CEF269C}</x:author>
    <x:author>tc={FC6EE654-28BD-ED83-1D35-2478CE61FBF0}</x:author>
    <x:author>tc={9538859B-E52E-87FD-B2E7-65816CCFF995}</x:author>
    <x:author>tc={EA26C966-B81E-7A38-F391-BE14216F3FBE}</x:author>
    <x:author>tc={1372827F-0DA2-4791-940B-30D2DBC3CB33}</x:author>
    <x:author>tc={A6E0A399-3827-5338-9F75-CC287217371B}</x:author>
    <x:author>tc={19C790C3-CDEF-E25B-C95D-ECA3B95FCA7D}</x:author>
    <x:author>tc={AAA35233-F430-0643-295A-D28E45A6EBB3}</x:author>
    <x:author>tc={6DE21164-16B7-98B0-5DEA-3DE1D7CAA611}</x:author>
    <x:author>tc={8DB27B47-9940-04FA-DBA2-1ECF4E2BFDC6}</x:author>
    <x:author>tc={5F35FD62-C808-0F39-7AFF-504B9B6489BE}</x:author>
    <x:author>tc={786B91FD-ADA5-4E3A-AFFF-EDACA2D0895B}</x:author>
    <x:author>tc={57419D7C-D53E-C812-9DFE-5155A31FD1EC}</x:author>
    <x:author>tc={B6B6B878-2A3E-AF1B-08B4-ACC303049D76}</x:author>
    <x:author>tc={3259065B-7D09-B5A6-28BF-11E24281231E}</x:author>
    <x:author>tc={B9656213-8D4F-7253-9ED1-8B1D763E799B}</x:author>
    <x:author>tc={550145DF-67EE-1634-9680-24DBF5A93868}</x:author>
    <x:author>tc={617CAA82-D7EB-FCBC-BB19-E53BFA2FF673}</x:author>
    <x:author>tc={6FB13246-9E07-93B9-F24E-48A48FD8E512}</x:author>
  </x:authors>
  <x:commentList>
    <x:comment ref="E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https://www.airdna.co/vacation-rental-data/app/us/tennessee/sevierville/overview
Basis/date: 2026-07
Retrieved/reviewed September 21, 2026. Not a property-level quote.</x:t>
        </x:r>
      </x:text>
    </x:comment>
    <x:comment ref="G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https://www.airdna.co/vacation-rental-data/app/us/tennessee/sevierville/overview
Basis/date: Trailing 12 months; market-wide active listings
Retrieved/reviewed September 21, 2026. Not a property-level quote.</x:t>
        </x:r>
      </x:text>
    </x:comment>
    <x:comment ref="E8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https://www.airdna.co/vacation-rental-data/app/us/tennessee/gatlinburg/overview
Basis/date: 2026-08
Retrieved/reviewed September 21, 2026. Not a property-level quote.</x:t>
        </x:r>
      </x:text>
    </x:comment>
    <x:comment ref="G8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https://www.airdna.co/vacation-rental-data/app/us/tennessee/gatlinburg/overview
Basis/date: Trailing 12 months; market-wide active listings
Retrieved/reviewed September 21, 2026. Not a property-level quote.</x:t>
        </x:r>
      </x:text>
    </x:comment>
    <x:comment ref="E9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https://www.airdna.co/vacation-rental-data/app/us/tennessee/pigeon-forge/overview
Basis/date: 2026-07
Retrieved/reviewed September 21, 2026. Not a property-level quote.</x:t>
        </x:r>
      </x:text>
    </x:comment>
    <x:comment ref="G9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https://www.airdna.co/vacation-rental-data/app/us/tennessee/pigeon-forge/overview
Basis/date: Trailing 12 months; market-wide active listings
Retrieved/reviewed September 21, 2026. Not a property-level quote.</x:t>
        </x:r>
      </x:text>
    </x:comment>
    <x:comment ref="E10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https://www.airdna.co/vacation-rental-data/app/us/georgia/blue-ridge/overview
Basis/date: 2026-08
Retrieved/reviewed September 21, 2026. Not a property-level quote.</x:t>
        </x:r>
      </x:text>
    </x:comment>
    <x:comment ref="G10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https://www.airdna.co/vacation-rental-data/app/us/georgia/blue-ridge/overview
Basis/date: Trailing 12 months; market-wide active listings
Retrieved/reviewed September 21, 2026. Not a property-level quote.</x:t>
        </x:r>
      </x:text>
    </x:comment>
    <x:comment ref="E1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https://www.airdna.co/vacation-rental-data/app/us/georgia/ellijay/overview
Basis/date: 2026-08
Retrieved/reviewed September 21, 2026. Not a property-level quote.</x:t>
        </x:r>
      </x:text>
    </x:comment>
    <x:comment ref="G1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https://www.airdna.co/vacation-rental-data/app/us/georgia/ellijay/overview
Basis/date: Trailing 12 months; market-wide active listings
Retrieved/reviewed September 21, 2026. Not a property-level quote.</x:t>
        </x:r>
      </x:text>
    </x:comment>
    <x:comment ref="E12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https://www.airdna.co/vacation-rental-data/app/us/oklahoma/broken-bow/overview
Basis/date: 2026-07
Retrieved/reviewed September 21, 2026. Not a property-level quote.</x:t>
        </x:r>
      </x:text>
    </x:comment>
    <x:comment ref="G12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https://www.airdna.co/vacation-rental-data/app/us/oklahoma/broken-bow/overview
Basis/date: Trailing 12 months; market-wide active listings
Retrieved/reviewed September 21, 2026. Not a property-level quote.</x:t>
        </x:r>
      </x:text>
    </x:comment>
    <x:comment ref="E13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https://www.airdna.co/vacation-rental-data/app/us/missouri/branson/overview
Basis/date: 2026-07
Retrieved/reviewed September 21, 2026. Not a property-level quote.</x:t>
        </x:r>
      </x:text>
    </x:comment>
    <x:comment ref="G13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https://www.airdna.co/vacation-rental-data/app/us/missouri/branson/overview
Basis/date: Trailing 12 months; market-wide active listings
Retrieved/reviewed September 21, 2026. Not a property-level quote.</x:t>
        </x:r>
      </x:text>
    </x:comment>
    <x:comment ref="E14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https://rabbu.com/airbnb-data/hot-springs-national-park-ar
Basis/date: 12-month average; as of 2026-04-27
Retrieved/reviewed September 21, 2026. Not a property-level quote.</x:t>
        </x:r>
      </x:text>
    </x:comment>
    <x:comment ref="G14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https://rabbu.com/airbnb-data/hot-springs-national-park-ar
Basis/date: Rabbu historical 12-month average; snapshot ADR/occupancy
Retrieved/reviewed September 21, 2026. Not a property-level quote.</x:t>
        </x:r>
      </x:text>
    </x:comment>
    <x:comment ref="E15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https://www.airdna.co/vacation-rental-data/app/us/alabama/gulf-shores/overview
Basis/date: 2026-07
Retrieved/reviewed September 21, 2026. Not a property-level quote.</x:t>
        </x:r>
      </x:text>
    </x:comment>
    <x:comment ref="G15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https://www.airdna.co/vacation-rental-data/app/us/alabama/gulf-shores/overview
Basis/date: Trailing 12 months; market-wide active listings
Retrieved/reviewed September 21, 2026. Not a property-level quote.</x:t>
        </x:r>
      </x:text>
    </x:comment>
    <x:comment ref="E16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https://www.airdna.co/vacation-rental-data/app/us/alabama/orange-beach/overview
Basis/date: 2026-08
Retrieved/reviewed September 21, 2026. Not a property-level quote.</x:t>
        </x:r>
      </x:text>
    </x:comment>
    <x:comment ref="G16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https://www.airdna.co/vacation-rental-data/app/us/alabama/orange-beach/overview
Basis/date: Trailing 12 months; market-wide active listings
Retrieved/reviewed September 21, 2026. Not a property-level quote.</x:t>
        </x:r>
      </x:text>
    </x:comment>
    <x:comment ref="E17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https://rabbu.com/airbnb-data/panama-city-beach-fl
Basis/date: 12-month average; as of 2026-04-27
Retrieved/reviewed September 21, 2026. Not a property-level quote.</x:t>
        </x:r>
      </x:text>
    </x:comment>
    <x:comment ref="G17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https://rabbu.com/airbnb-data/panama-city-beach-fl
Basis/date: Rabbu historical 12-month average; ADR/occupancy snapshot may differ
Retrieved/reviewed September 21, 2026. Not a property-level quote.</x:t>
        </x:r>
      </x:text>
    </x:comment>
    <x:comment ref="E18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https://www.airdna.co/vacation-rental-data/app/us/florida/destin/overview
Basis/date: 2026-07
Retrieved/reviewed September 21, 2026. Not a property-level quote.</x:t>
        </x:r>
      </x:text>
    </x:comment>
    <x:comment ref="G18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https://www.airdna.co/vacation-rental-data/app/us/florida/destin/overview
Basis/date: Trailing 12 months; market-wide active listings
Retrieved/reviewed September 21, 2026. Not a property-level quote.</x:t>
        </x:r>
      </x:text>
    </x:comment>
    <x:comment ref="E19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https://www.airdna.co/vacation-rental-data/app/us/florida/fort-walton-beach/overview
Basis/date: 2026-06
Retrieved/reviewed September 21, 2026. Not a property-level quote.</x:t>
        </x:r>
      </x:text>
    </x:comment>
    <x:comment ref="G19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https://www.airdna.co/vacation-rental-data/app/us/florida/fort-walton-beach/overview
Basis/date: Trailing 12 months; market-wide active listings
Retrieved/reviewed September 21, 2026. Not a property-level quote.</x:t>
        </x:r>
      </x:text>
    </x:comment>
    <x:comment ref="E20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https://www.airdna.co/vacation-rental-data/app/us/florida/pensacola/overview
Basis/date: 2026-08
Retrieved/reviewed September 21, 2026. Not a property-level quote.</x:t>
        </x:r>
      </x:text>
    </x:comment>
    <x:comment ref="G20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https://www.airdna.co/vacation-rental-data/app/us/florida/pensacola/overview
Basis/date: Trailing 12 months; market-wide active listings
Retrieved/reviewed September 21, 2026. Not a property-level quote.</x:t>
        </x:r>
      </x:text>
    </x:comment>
    <x:comment ref="E21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https://rabbu.com/airbnb-data/kissimmee-fl
Basis/date: Snapshot Apr 27, 2026; annual revenue historical 12-month average
Retrieved/reviewed September 21, 2026. Not a property-level quote.</x:t>
        </x:r>
      </x:text>
    </x:comment>
    <x:comment ref="G21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https://rabbu.com/airbnb-data/kissimmee-fl
Basis/date: Historical 12-month average (Rabbu)
Retrieved/reviewed September 21, 2026. Not a property-level quote.</x:t>
        </x:r>
      </x:text>
    </x:comment>
    <x:comment ref="E22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https://rabbu.com/airbnb-data/davenport-fl
Basis/date: Snapshot Apr 27, 2026; annual revenue historical 12-month average
Retrieved/reviewed September 21, 2026. Not a property-level quote.</x:t>
        </x:r>
      </x:text>
    </x:comment>
    <x:comment ref="G22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https://rabbu.com/airbnb-data/davenport-fl
Basis/date: Historical 12-month average (Rabbu)
Retrieved/reviewed September 21, 2026. Not a property-level quote.</x:t>
        </x:r>
      </x:text>
    </x:comment>
    <x:comment ref="E23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https://www.airdna.co/vacation-rental-data/app/us/florida/saint-augustine/overview
Basis/date: 2026-06
Retrieved/reviewed September 21, 2026. Not a property-level quote.</x:t>
        </x:r>
      </x:text>
    </x:comment>
    <x:comment ref="G23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https://www.airdna.co/vacation-rental-data/app/us/florida/saint-augustine/overview
Basis/date: Trailing 12 months; market-wide active listings
Retrieved/reviewed September 21, 2026. Not a property-level quote.</x:t>
        </x:r>
      </x:text>
    </x:comment>
    <x:comment ref="E24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https://www.airdna.co/vacation-rental-data/app/us/florida/crystal-river/overview
Basis/date: 2026-07
Retrieved/reviewed September 21, 2026. Not a property-level quote.</x:t>
        </x:r>
      </x:text>
    </x:comment>
    <x:comment ref="G24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https://www.airdna.co/vacation-rental-data/app/us/florida/crystal-river/overview
Basis/date: Trailing 12 months; market-wide active listings
Retrieved/reviewed September 21, 2026. Not a property-level quote.</x:t>
        </x:r>
      </x:text>
    </x:comment>
    <x:comment ref="E25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https://www.airdna.co/vacation-rental-data/app/us/florida/cape-coral/overview
Basis/date: 2026-07
Retrieved/reviewed September 21, 2026. Not a property-level quote.</x:t>
        </x:r>
      </x:text>
    </x:comment>
    <x:comment ref="G25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https://www.airdna.co/vacation-rental-data/app/us/florida/cape-coral/overview
Basis/date: Trailing 12 months; market-wide active listings
Retrieved/reviewed September 21, 2026. Not a property-level quote.</x:t>
        </x:r>
      </x:text>
    </x:comment>
    <x:comment ref="E26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https://www.airdna.co/vacation-rental-data/app/us/florida/fort-lauderdale/overview
Basis/date: 2026-07
Retrieved/reviewed September 21, 2026. Not a property-level quote.</x:t>
        </x:r>
      </x:text>
    </x:comment>
    <x:comment ref="G26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https://www.airdna.co/vacation-rental-data/app/us/florida/fort-lauderdale/overview
Basis/date: Trailing 12 months; market-wide active listings
Retrieved/reviewed September 21, 2026. Not a property-level quote.</x:t>
        </x:r>
      </x:text>
    </x:comment>
    <x:comment ref="E27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https://www.airdna.co/vacation-rental-data/app/us/south-carolina/myrtle-beach/overview
Basis/date: 2026-08
Retrieved/reviewed September 21, 2026. Not a property-level quote.</x:t>
        </x:r>
      </x:text>
    </x:comment>
    <x:comment ref="G27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https://www.airdna.co/vacation-rental-data/app/us/south-carolina/myrtle-beach/overview
Basis/date: Trailing 12 months; market-wide active listings
Retrieved/reviewed September 21, 2026. Not a property-level quote.</x:t>
        </x:r>
      </x:text>
    </x:comment>
    <x:comment ref="E28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https://www.airdna.co/vacation-rental-data/app/us/south-carolina/north-myrtle-beach/overview
Basis/date: 2026-06
Retrieved/reviewed September 21, 2026. Not a property-level quote.</x:t>
        </x:r>
      </x:text>
    </x:comment>
    <x:comment ref="G28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https://www.airdna.co/vacation-rental-data/app/us/south-carolina/north-myrtle-beach/overview
Basis/date: Trailing 12 months; market-wide active listings
Retrieved/reviewed September 21, 2026. Not a property-level quote.</x:t>
        </x:r>
      </x:text>
    </x:comment>
    <x:comment ref="E29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https://www.airdna.co/vacation-rental-data/app/us/south-carolina/hilton-head-island/overview
Basis/date: 2026-08
Retrieved/reviewed September 21, 2026. Not a property-level quote.</x:t>
        </x:r>
      </x:text>
    </x:comment>
    <x:comment ref="G29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https://www.airdna.co/vacation-rental-data/app/us/south-carolina/hilton-head-island/overview
Basis/date: Trailing 12 months; market-wide active listings
Retrieved/reviewed September 21, 2026. Not a property-level quote.</x:t>
        </x:r>
      </x:text>
    </x:comment>
    <x:comment ref="E30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https://www.airdna.co/vacation-rental-data/app/us/south-carolina/charleston/overview
Basis/date: 2026-08
Retrieved/reviewed September 21, 2026. Not a property-level quote.</x:t>
        </x:r>
      </x:text>
    </x:comment>
    <x:comment ref="G30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https://www.airdna.co/vacation-rental-data/app/us/south-carolina/charleston/overview
Basis/date: Trailing 12 months; market-wide active listings
Retrieved/reviewed September 21, 2026. Not a property-level quote.</x:t>
        </x:r>
      </x:text>
    </x:comment>
    <x:comment ref="E31" authorId="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https://rabbu.com/airbnb-data/wilmington-nc
Basis/date: Snapshot Mar 15, 2026; revenue is seasonalized projection
Retrieved/reviewed September 21, 2026. Not a property-level quote.</x:t>
        </x:r>
      </x:text>
    </x:comment>
    <x:comment ref="G31" authorId="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https://rabbu.com/airbnb-data/wilmington-nc
Basis/date: Projection only; NOT historical annual revenue
Retrieved/reviewed September 21, 2026. Not a property-level quote.</x:t>
        </x:r>
      </x:text>
    </x:comment>
    <x:comment ref="E32" authorId="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https://www.airdna.co/vacation-rental-data/app/us/north-carolina/carolina-beach/overview
Basis/date: 2026-08
Retrieved/reviewed September 21, 2026. Not a property-level quote.</x:t>
        </x:r>
      </x:text>
    </x:comment>
    <x:comment ref="G32" authorId="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https://www.airdna.co/vacation-rental-data/app/us/north-carolina/carolina-beach/overview
Basis/date: Trailing 12 months; market-wide active listings
Retrieved/reviewed September 21, 2026. Not a property-level quote.</x:t>
        </x:r>
      </x:text>
    </x:comment>
    <x:comment ref="E33" authorId="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https://www.airdna.co/vacation-rental-data/app/us/north-carolina/oak-island/overview
Basis/date: Not disclosed
Retrieved/reviewed September 21, 2026. Not a property-level quote.</x:t>
        </x:r>
      </x:text>
    </x:comment>
    <x:comment ref="G33" authorId="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https://www.airdna.co/vacation-rental-data/app/us/north-carolina/oak-island/overview
Basis/date: Trailing 12 months; market-wide active listings
Retrieved/reviewed September 21, 2026. Not a property-level quote.</x:t>
        </x:r>
      </x:text>
    </x:comment>
    <x:comment ref="E34" authorId="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https://www.airdna.co/vacation-rental-data/app/us/north-carolina/nags-head/overview
Basis/date: 2026-07
Retrieved/reviewed September 21, 2026. Not a property-level quote.</x:t>
        </x:r>
      </x:text>
    </x:comment>
    <x:comment ref="G34" authorId="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https://www.airdna.co/vacation-rental-data/app/us/north-carolina/nags-head/overview
Basis/date: Trailing 12 months; market-wide active listings
Retrieved/reviewed September 21, 2026. Not a property-level quote.</x:t>
        </x:r>
      </x:text>
    </x:comment>
    <x:comment ref="E35" authorId="5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https://www.airdna.co/vacation-rental-data/app/us/north-carolina/kill-devil-hills/overview
Basis/date: 2026-07
Retrieved/reviewed September 21, 2026. Not a property-level quote.</x:t>
        </x:r>
      </x:text>
    </x:comment>
    <x:comment ref="G35" authorId="5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https://www.airdna.co/vacation-rental-data/app/us/north-carolina/kill-devil-hills/overview
Basis/date: Trailing 12 months; market-wide active listings
Retrieved/reviewed September 21, 2026. Not a property-level quote.</x:t>
        </x:r>
      </x:text>
    </x:comment>
    <x:comment ref="E36" authorId="5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https://www.airdna.co/vacation-rental-data/app/us/north-carolina/corolla/overview
Basis/date: 2026-07
Retrieved/reviewed September 21, 2026. Not a property-level quote.</x:t>
        </x:r>
      </x:text>
    </x:comment>
    <x:comment ref="G36" authorId="5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https://www.airdna.co/vacation-rental-data/app/us/north-carolina/corolla/overview
Basis/date: Trailing 12 months; market-wide active listings
Retrieved/reviewed September 21, 2026. Not a property-level quote.</x:t>
        </x:r>
      </x:text>
    </x:comment>
    <x:comment ref="E37" authorId="6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https://www.airdna.co/vacation-rental-data/app/us/north-carolina/boone/overview
Basis/date: 2026-07
Retrieved/reviewed September 21, 2026. Not a property-level quote.</x:t>
        </x:r>
      </x:text>
    </x:comment>
    <x:comment ref="G37" authorId="6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https://www.airdna.co/vacation-rental-data/app/us/north-carolina/boone/overview
Basis/date: Trailing 12 months; market-wide active listings
Retrieved/reviewed September 21, 2026. Not a property-level quote.</x:t>
        </x:r>
      </x:text>
    </x:comment>
    <x:comment ref="E38" authorId="6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https://www.airdna.co/vacation-rental-data/app/us/north-carolina/banner-elk/overview
Basis/date: 2026-07
Retrieved/reviewed September 21, 2026. Not a property-level quote.</x:t>
        </x:r>
      </x:text>
    </x:comment>
    <x:comment ref="G38" authorId="6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https://www.airdna.co/vacation-rental-data/app/us/north-carolina/banner-elk/overview
Basis/date: Trailing 12 months; market-wide active listings
Retrieved/reviewed September 21, 2026. Not a property-level quote.</x:t>
        </x:r>
      </x:text>
    </x:comment>
    <x:comment ref="E39" authorId="6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https://www.airdna.co/vacation-rental-data/app/us/north-carolina/bryson-city/overview
Basis/date: 2026-07
Retrieved/reviewed September 21, 2026. Not a property-level quote.</x:t>
        </x:r>
      </x:text>
    </x:comment>
    <x:comment ref="G39" authorId="6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https://www.airdna.co/vacation-rental-data/app/us/north-carolina/bryson-city/overview
Basis/date: Trailing 12 months; market-wide active listings
Retrieved/reviewed September 21, 2026. Not a property-level quote.</x:t>
        </x:r>
      </x:text>
    </x:comment>
    <x:comment ref="E40" authorId="6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https://www.airdna.co/vacation-rental-data/app/us/north-carolina/asheville/overview
Basis/date: 2026-07
Retrieved/reviewed September 21, 2026. Not a property-level quote.</x:t>
        </x:r>
      </x:text>
    </x:comment>
    <x:comment ref="G40" authorId="6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https://www.airdna.co/vacation-rental-data/app/us/north-carolina/asheville/overview
Basis/date: Trailing 12 months; market-wide active listings
Retrieved/reviewed September 21, 2026. Not a property-level quote.</x:t>
        </x:r>
      </x:text>
    </x:comment>
    <x:comment ref="E41" authorId="6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https://www.airdna.co/vacation-rental-data/app/us/virginia/luray/overview
Basis/date: Not disclosed
Retrieved/reviewed September 21, 2026. Not a property-level quote.</x:t>
        </x:r>
      </x:text>
    </x:comment>
    <x:comment ref="G41" authorId="6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https://www.airdna.co/vacation-rental-data/app/us/virginia/luray/overview
Basis/date: Trailing 12 months; market-wide active listings
Retrieved/reviewed September 21, 2026. Not a property-level quote.</x:t>
        </x:r>
      </x:text>
    </x:comment>
    <x:comment ref="E42" authorId="7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https://www.airdna.co/vacation-rental-data/app/us/virginia/front-royal/overview
Basis/date: 2026-07
Retrieved/reviewed September 21, 2026. Not a property-level quote.</x:t>
        </x:r>
      </x:text>
    </x:comment>
    <x:comment ref="G42" authorId="7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https://www.airdna.co/vacation-rental-data/app/us/virginia/front-royal/overview
Basis/date: Trailing 12 months; market-wide active listings
Retrieved/reviewed September 21, 2026. Not a property-level quote.</x:t>
        </x:r>
      </x:text>
    </x:comment>
    <x:comment ref="E43" authorId="7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https://www.airdna.co/vacation-rental-data/app/us/virginia/massanutten/overview
Basis/date: None
Retrieved/reviewed September 21, 2026. Not a property-level quote.</x:t>
        </x:r>
      </x:text>
    </x:comment>
    <x:comment ref="G43" authorId="7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https://www.airdna.co/vacation-rental-data/app/us/virginia/massanutten/overview
Basis/date: None
Retrieved/reviewed September 21, 2026. Not a property-level quote.</x:t>
        </x:r>
      </x:text>
    </x:comment>
    <x:comment ref="E44" authorId="7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https://www.airdna.co/vacation-rental-data/app/us/vermont/stowe/overview
Basis/date: Not disclosed
Retrieved/reviewed September 21, 2026. Not a property-level quote.</x:t>
        </x:r>
      </x:text>
    </x:comment>
    <x:comment ref="G44" authorId="7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https://www.airdna.co/vacation-rental-data/app/us/vermont/stowe/overview
Basis/date: Trailing 12 months; market-wide active listings
Retrieved/reviewed September 21, 2026. Not a property-level quote.</x:t>
        </x:r>
      </x:text>
    </x:comment>
    <x:comment ref="E45" authorId="7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https://www.airdna.co/vacation-rental-data/app/us/pennsylvania/tobyhanna/overview
Basis/date: 2026-07
Retrieved/reviewed September 21, 2026. Not a property-level quote.</x:t>
        </x:r>
      </x:text>
    </x:comment>
    <x:comment ref="G45" authorId="7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https://www.airdna.co/vacation-rental-data/app/us/pennsylvania/tobyhanna/overview
Basis/date: Trailing 12 months; market-wide active listings
Retrieved/reviewed September 21, 2026. Not a property-level quote.</x:t>
        </x:r>
      </x:text>
    </x:comment>
    <x:comment ref="E46" authorId="7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https://www.airdna.co/vacation-rental-data/app/us/pennsylvania/pocono-pines/overview
Basis/date: 2026-06
Retrieved/reviewed September 21, 2026. Not a property-level quote.</x:t>
        </x:r>
      </x:text>
    </x:comment>
    <x:comment ref="G46" authorId="7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https://www.airdna.co/vacation-rental-data/app/us/pennsylvania/pocono-pines/overview
Basis/date: Trailing 12 months; market-wide active listings
Retrieved/reviewed September 21, 2026. Not a property-level quote.</x:t>
        </x:r>
      </x:text>
    </x:comment>
    <x:comment ref="E47" authorId="8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https://www.airdna.co/vacation-rental-data/app/us/pennsylvania/jim-thorpe/overview
Basis/date: Not disclosed
Retrieved/reviewed September 21, 2026. Not a property-level quote.</x:t>
        </x:r>
      </x:text>
    </x:comment>
    <x:comment ref="G47" authorId="8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https://www.airdna.co/vacation-rental-data/app/us/pennsylvania/jim-thorpe/overview
Basis/date: Trailing 12 months; market-wide active listings
Retrieved/reviewed September 21, 2026. Not a property-level quote.</x:t>
        </x:r>
      </x:text>
    </x:comment>
    <x:comment ref="E48" authorId="8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https://www.airdna.co/vacation-rental-data/app/us/pennsylvania/lake-harmony/overview
Basis/date: Not disclosed
Retrieved/reviewed September 21, 2026. Not a property-level quote.</x:t>
        </x:r>
      </x:text>
    </x:comment>
    <x:comment ref="G48" authorId="8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https://www.airdna.co/vacation-rental-data/app/us/pennsylvania/lake-harmony/overview
Basis/date: Trailing 12 months; market-wide active listings
Retrieved/reviewed September 21, 2026. Not a property-level quote.</x:t>
        </x:r>
      </x:text>
    </x:comment>
    <x:comment ref="E49" authorId="8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https://www.airdna.co/vacation-rental-data/app/us/pennsylvania/lancaster/overview
Basis/date: 2026-07
Retrieved/reviewed September 21, 2026. Not a property-level quote.</x:t>
        </x:r>
      </x:text>
    </x:comment>
    <x:comment ref="G49" authorId="8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https://www.airdna.co/vacation-rental-data/app/us/pennsylvania/lancaster/overview
Basis/date: Trailing 12 months; market-wide active listings
Retrieved/reviewed September 21, 2026. Not a property-level quote.</x:t>
        </x:r>
      </x:text>
    </x:comment>
    <x:comment ref="E50" authorId="8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https://www.airdna.co/vacation-rental-data/app/us/pennsylvania/gettysburg/overview
Basis/date: Not disclosed
Retrieved/reviewed September 21, 2026. Not a property-level quote.</x:t>
        </x:r>
      </x:text>
    </x:comment>
    <x:comment ref="G50" authorId="8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https://www.airdna.co/vacation-rental-data/app/us/pennsylvania/gettysburg/overview
Basis/date: Trailing 12 months; market-wide active listings
Retrieved/reviewed September 21, 2026. Not a property-level quote.</x:t>
        </x:r>
      </x:text>
    </x:comment>
    <x:comment ref="E51" authorId="8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https://www.airdna.co/vacation-rental-data/app/us/ohio/logan/overview
Basis/date: 2026-07
Retrieved/reviewed September 21, 2026. Not a property-level quote.</x:t>
        </x:r>
      </x:text>
    </x:comment>
    <x:comment ref="G51" authorId="8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https://www.airdna.co/vacation-rental-data/app/us/ohio/logan/overview
Basis/date: Trailing 12 months; market-wide active listings
Retrieved/reviewed September 21, 2026. Not a property-level quote.</x:t>
        </x:r>
      </x:text>
    </x:comment>
    <x:comment ref="E52" authorId="9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https://www.airdna.co/vacation-rental-data/app/us/ohio/sandusky/overview
Basis/date: Not disclosed
Retrieved/reviewed September 21, 2026. Not a property-level quote.</x:t>
        </x:r>
      </x:text>
    </x:comment>
    <x:comment ref="G52" authorId="9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https://www.airdna.co/vacation-rental-data/app/us/ohio/sandusky/overview
Basis/date: Trailing 12 months; market-wide active listings
Retrieved/reviewed September 21, 2026. Not a property-level quote.</x:t>
        </x:r>
      </x:text>
    </x:comment>
    <x:comment ref="E53" authorId="9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https://www.airdna.co/vacation-rental-data/app/us/michigan/traverse-city/overview
Basis/date: 2026-08
Retrieved/reviewed September 21, 2026. Not a property-level quote.</x:t>
        </x:r>
      </x:text>
    </x:comment>
    <x:comment ref="G53" authorId="9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https://www.airdna.co/vacation-rental-data/app/us/michigan/traverse-city/overview
Basis/date: Trailing 12 months; market-wide active listings
Retrieved/reviewed September 21, 2026. Not a property-level quote.</x:t>
        </x:r>
      </x:text>
    </x:comment>
    <x:comment ref="E54" authorId="9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https://www.airdna.co/vacation-rental-data/app/us/michigan/new-buffalo/overview
Basis/date: 2026-06
Retrieved/reviewed September 21, 2026. Not a property-level quote.</x:t>
        </x:r>
      </x:text>
    </x:comment>
    <x:comment ref="G54" authorId="9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https://www.airdna.co/vacation-rental-data/app/us/michigan/new-buffalo/overview
Basis/date: Trailing 12 months; market-wide active listings
Retrieved/reviewed September 21, 2026. Not a property-level quote.</x:t>
        </x:r>
      </x:text>
    </x:comment>
    <x:comment ref="E55" authorId="9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https://www.airdna.co/vacation-rental-data/app/us/wisconsin/wisconsin-dells/overview
Basis/date: 2026-07
Retrieved/reviewed September 21, 2026. Not a property-level quote.</x:t>
        </x:r>
      </x:text>
    </x:comment>
    <x:comment ref="G55" authorId="9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https://www.airdna.co/vacation-rental-data/app/us/wisconsin/wisconsin-dells/overview
Basis/date: Trailing 12 months; market-wide active listings
Retrieved/reviewed September 21, 2026. Not a property-level quote.</x:t>
        </x:r>
      </x:text>
    </x:comment>
    <x:comment ref="E56" authorId="9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https://www.airdna.co/vacation-rental-data/app/us/wisconsin/lake-geneva/overview
Basis/date: Not disclosed
Retrieved/reviewed September 21, 2026. Not a property-level quote.</x:t>
        </x:r>
      </x:text>
    </x:comment>
    <x:comment ref="G56" authorId="9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https://www.airdna.co/vacation-rental-data/app/us/wisconsin/lake-geneva/overview
Basis/date: Trailing 12 months; market-wide active listings
Retrieved/reviewed September 21, 2026. Not a property-level quote.</x:t>
        </x:r>
      </x:text>
    </x:comment>
    <x:comment ref="E57" authorId="10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https://www.airdna.co/vacation-rental-data/app/us/missouri/osage-beach/overview
Basis/date: 2026-07
Retrieved/reviewed September 21, 2026. Not a property-level quote.</x:t>
        </x:r>
      </x:text>
    </x:comment>
    <x:comment ref="G57" authorId="10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https://www.airdna.co/vacation-rental-data/app/us/missouri/osage-beach/overview
Basis/date: Trailing 12 months; market-wide active listings
Retrieved/reviewed September 21, 2026. Not a property-level quote.</x:t>
        </x:r>
      </x:text>
    </x:comment>
    <x:comment ref="E58" authorId="10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https://www.airdna.co/vacation-rental-data/app/us/arkansas/eureka-springs/overview
Basis/date: 2026-07
Retrieved/reviewed September 21, 2026. Not a property-level quote.</x:t>
        </x:r>
      </x:text>
    </x:comment>
    <x:comment ref="G58" authorId="10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https://www.airdna.co/vacation-rental-data/app/us/arkansas/eureka-springs/overview
Basis/date: Trailing 12 months; market-wide active listings
Retrieved/reviewed September 21, 2026. Not a property-level quote.</x:t>
        </x:r>
      </x:text>
    </x:comment>
    <x:comment ref="E59" authorId="10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https://www.airdna.co/vacation-rental-data/app/us/texas/fredericksburg/overview
Basis/date: 2026-06
Retrieved/reviewed September 21, 2026. Not a property-level quote.</x:t>
        </x:r>
      </x:text>
    </x:comment>
    <x:comment ref="G59" authorId="10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https://www.airdna.co/vacation-rental-data/app/us/texas/fredericksburg/overview
Basis/date: Trailing 12 months; market-wide active listings
Retrieved/reviewed September 21, 2026. Not a property-level quote.</x:t>
        </x:r>
      </x:text>
    </x:comment>
    <x:comment ref="E60" authorId="10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https://www.airdna.co/vacation-rental-data/app/us/texas/new-braunfels/overview
Basis/date: 2026-07
Retrieved/reviewed September 21, 2026. Not a property-level quote.</x:t>
        </x:r>
      </x:text>
    </x:comment>
    <x:comment ref="G60" authorId="10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https://www.airdna.co/vacation-rental-data/app/us/texas/new-braunfels/overview
Basis/date: Trailing 12 months; market-wide active listings
Retrieved/reviewed September 21, 2026. Not a property-level quote.</x:t>
        </x:r>
      </x:text>
    </x:comment>
    <x:comment ref="E61" authorId="10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https://www.airdna.co/vacation-rental-data/app/us/texas/galveston/overview
Basis/date: 2026-07
Retrieved/reviewed September 21, 2026. Not a property-level quote.</x:t>
        </x:r>
      </x:text>
    </x:comment>
    <x:comment ref="G61" authorId="10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https://www.airdna.co/vacation-rental-data/app/us/texas/galveston/overview
Basis/date: Trailing 12 months; market-wide active listings
Retrieved/reviewed September 21, 2026. Not a property-level quote.</x:t>
        </x:r>
      </x:text>
    </x:comment>
    <x:comment ref="E62" authorId="1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https://www.airdna.co/vacation-rental-data/app/us/texas/port-aransas/overview
Basis/date: 2026-07
Retrieved/reviewed September 21, 2026. Not a property-level quote.</x:t>
        </x:r>
      </x:text>
    </x:comment>
    <x:comment ref="G62" authorId="1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https://www.airdna.co/vacation-rental-data/app/us/texas/port-aransas/overview
Basis/date: Trailing 12 months; market-wide active listings
Retrieved/reviewed September 21, 2026. Not a property-level quote.</x:t>
        </x:r>
      </x:text>
    </x:comment>
    <x:comment ref="E63" authorId="1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https://www.airdna.co/vacation-rental-data/app/us/texas/waco/overview
Basis/date: 2026-07
Retrieved/reviewed September 21, 2026. Not a property-level quote.</x:t>
        </x:r>
      </x:text>
    </x:comment>
    <x:comment ref="G63" authorId="1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https://www.airdna.co/vacation-rental-data/app/us/texas/waco/overview
Basis/date: Trailing 12 months; market-wide active listings
Retrieved/reviewed September 21, 2026. Not a property-level quote.</x:t>
        </x:r>
      </x:text>
    </x:comment>
    <x:comment ref="E64" authorId="1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https://www.airdna.co/vacation-rental-data/app/us/texas/san-antonio/overview
Basis/date: 2026-07
Retrieved/reviewed September 21, 2026. Not a property-level quote.</x:t>
        </x:r>
      </x:text>
    </x:comment>
    <x:comment ref="G64" authorId="1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https://www.airdna.co/vacation-rental-data/app/us/texas/san-antonio/overview
Basis/date: Trailing 12 months; market-wide active listings
Retrieved/reviewed September 21, 2026. Not a property-level quote.</x:t>
        </x:r>
      </x:text>
    </x:comment>
    <x:comment ref="E65" authorId="1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https://www.airdna.co/vacation-rental-data/app/us/texas/houston/overview
Basis/date: 2026-06
Retrieved/reviewed September 21, 2026. Not a property-level quote.</x:t>
        </x:r>
      </x:text>
    </x:comment>
    <x:comment ref="G65" authorId="1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https://www.airdna.co/vacation-rental-data/app/us/texas/houston/overview
Basis/date: Trailing 12 months; market-wide active listings
Retrieved/reviewed September 21, 2026. Not a property-level quote.</x:t>
        </x:r>
      </x:text>
    </x:comment>
    <x:comment ref="E66" authorId="1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https://www.airdna.co/vacation-rental-data/app/us/texas/abilene/overview
Basis/date: 2026-08
Retrieved/reviewed September 21, 2026. Not a property-level quote.</x:t>
        </x:r>
      </x:text>
    </x:comment>
    <x:comment ref="G66" authorId="1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https://www.airdna.co/vacation-rental-data/app/us/texas/abilene/overview
Basis/date: Trailing 12 months; market-wide active listings
Retrieved/reviewed September 21, 2026. Not a property-level quote.</x:t>
        </x:r>
      </x:text>
    </x:comment>
    <x:comment ref="E67" authorId="1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https://www.airdna.co/vacation-rental-data/app/us/texas/port-arthur/overview
Basis/date: 2026-08
Retrieved/reviewed September 21, 2026. Not a property-level quote.</x:t>
        </x:r>
      </x:text>
    </x:comment>
    <x:comment ref="G67" authorId="1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https://www.airdna.co/vacation-rental-data/app/us/texas/port-arthur/overview
Basis/date: Trailing 12 months; market-wide active listings
Retrieved/reviewed September 21, 2026. Not a property-level quote.</x:t>
        </x:r>
      </x:text>
    </x:comment>
    <x:comment ref="E68" authorId="1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https://www.airdna.co/vacation-rental-data/app/us/oklahoma/oklahoma-city/overview
Basis/date: Not disclosed
Retrieved/reviewed September 21, 2026. Not a property-level quote.</x:t>
        </x:r>
      </x:text>
    </x:comment>
    <x:comment ref="G68" authorId="1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https://www.airdna.co/vacation-rental-data/app/us/oklahoma/oklahoma-city/overview
Basis/date: Trailing 12 months; market-wide active listings
Retrieved/reviewed September 21, 2026. Not a property-level quote.</x:t>
        </x:r>
      </x:text>
    </x:comment>
    <x:comment ref="E69" authorId="1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https://www.airdna.co/vacation-rental-data/app/us/oklahoma/tulsa/overview
Basis/date: 2026-07
Retrieved/reviewed September 21, 2026. Not a property-level quote.</x:t>
        </x:r>
      </x:text>
    </x:comment>
    <x:comment ref="G69" authorId="1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https://www.airdna.co/vacation-rental-data/app/us/oklahoma/tulsa/overview
Basis/date: Trailing 12 months; market-wide active listings
Retrieved/reviewed September 21, 2026. Not a property-level quote.</x:t>
        </x:r>
      </x:text>
    </x:comment>
    <x:comment ref="E70" authorId="1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https://www.airdna.co/vacation-rental-data/app/us/arkansas/bentonville/overview
Basis/date: Not disclosed
Retrieved/reviewed September 21, 2026. Not a property-level quote.</x:t>
        </x:r>
      </x:text>
    </x:comment>
    <x:comment ref="G70" authorId="1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https://www.airdna.co/vacation-rental-data/app/us/arkansas/bentonville/overview
Basis/date: Trailing 12 months; market-wide active listings
Retrieved/reviewed September 21, 2026. Not a property-level quote.</x:t>
        </x:r>
      </x:text>
    </x:comment>
    <x:comment ref="E71" authorId="1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https://www.airdna.co/vacation-rental-data/app/us/arkansas/fayetteville/overview
Basis/date: 2026-07
Retrieved/reviewed September 21, 2026. Not a property-level quote.</x:t>
        </x:r>
      </x:text>
    </x:comment>
    <x:comment ref="G71" authorId="1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https://www.airdna.co/vacation-rental-data/app/us/arkansas/fayetteville/overview
Basis/date: Trailing 12 months; market-wide active listings
Retrieved/reviewed September 21, 2026. Not a property-level quote.</x:t>
        </x:r>
      </x:text>
    </x:comment>
    <x:comment ref="E72" authorId="1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https://www.airdna.co/vacation-rental-data/app/us/alabama/huntsville/overview
Basis/date: 2026-07
Retrieved/reviewed September 21, 2026. Not a property-level quote.</x:t>
        </x:r>
      </x:text>
    </x:comment>
    <x:comment ref="G72" authorId="1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https://www.airdna.co/vacation-rental-data/app/us/alabama/huntsville/overview
Basis/date: Trailing 12 months; market-wide active listings
Retrieved/reviewed September 21, 2026. Not a property-level quote.</x:t>
        </x:r>
      </x:text>
    </x:comment>
    <x:comment ref="E73" authorId="1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https://www.airdna.co/vacation-rental-data/app/us/alabama/birmingham/overview
Basis/date: 2026-07
Retrieved/reviewed September 21, 2026. Not a property-level quote.</x:t>
        </x:r>
      </x:text>
    </x:comment>
    <x:comment ref="G73" authorId="1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https://www.airdna.co/vacation-rental-data/app/us/alabama/birmingham/overview
Basis/date: Trailing 12 months; market-wide active listings
Retrieved/reviewed September 21, 2026. Not a property-level quote.</x:t>
        </x:r>
      </x:text>
    </x:comment>
    <x:comment ref="E74" authorId="1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https://www.airdna.co/vacation-rental-data/app/us/alabama/montgomery/overview
Basis/date: 2026-07
Retrieved/reviewed September 21, 2026. Not a property-level quote.</x:t>
        </x:r>
      </x:text>
    </x:comment>
    <x:comment ref="G74" authorId="1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https://www.airdna.co/vacation-rental-data/app/us/alabama/montgomery/overview
Basis/date: Trailing 12 months; market-wide active listings
Retrieved/reviewed September 21, 2026. Not a property-level quote.</x:t>
        </x:r>
      </x:text>
    </x:comment>
    <x:comment ref="E75" authorId="1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https://www.airdna.co/vacation-rental-data/app/us/kentucky/louisville/overview
Basis/date: 2026-07
Retrieved/reviewed September 21, 2026. Not a property-level quote.</x:t>
        </x:r>
      </x:text>
    </x:comment>
    <x:comment ref="G75" authorId="1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https://www.airdna.co/vacation-rental-data/app/us/kentucky/louisville/overview
Basis/date: Trailing 12 months; market-wide active listings
Retrieved/reviewed September 21, 2026. Not a property-level quote.</x:t>
        </x:r>
      </x:text>
    </x:comment>
    <x:comment ref="E76" authorId="1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https://www.airdna.co/vacation-rental-data/app/us/kentucky/lexington/overview
Basis/date: 2026-07
Retrieved/reviewed September 21, 2026. Not a property-level quote.</x:t>
        </x:r>
      </x:text>
    </x:comment>
    <x:comment ref="G76" authorId="1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https://www.airdna.co/vacation-rental-data/app/us/kentucky/lexington/overview
Basis/date: Trailing 12 months; market-wide active listings
Retrieved/reviewed September 21, 2026. Not a property-level quote.</x:t>
        </x:r>
      </x:text>
    </x:comment>
    <x:comment ref="E77" authorId="1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https://www.airdna.co/vacation-rental-data/app/us/indiana/indianapolis/overview
Basis/date: 2026-07
Retrieved/reviewed September 21, 2026. Not a property-level quote.</x:t>
        </x:r>
      </x:text>
    </x:comment>
    <x:comment ref="G77" authorId="1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https://www.airdna.co/vacation-rental-data/app/us/indiana/indianapolis/overview
Basis/date: Trailing 12 months; market-wide active listings
Retrieved/reviewed September 21, 2026. Not a property-level quote.</x:t>
        </x:r>
      </x:text>
    </x:comment>
    <x:comment ref="E78" authorId="1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https://www.airdna.co/vacation-rental-data/app/us/ohio/columbus/overview
Basis/date: 2026-07
Retrieved/reviewed September 21, 2026. Not a property-level quote.</x:t>
        </x:r>
      </x:text>
    </x:comment>
    <x:comment ref="G78" authorId="1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https://www.airdna.co/vacation-rental-data/app/us/ohio/columbus/overview
Basis/date: Trailing 12 months; market-wide active listings
Retrieved/reviewed September 21, 2026. Not a property-level quote.</x:t>
        </x:r>
      </x:text>
    </x:comment>
    <x:comment ref="E79" authorId="1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https://www.airdna.co/vacation-rental-data/app/us/ohio/cleveland/overview
Basis/date: 2026-08
Retrieved/reviewed September 21, 2026. Not a property-level quote.</x:t>
        </x:r>
      </x:text>
    </x:comment>
    <x:comment ref="G79" authorId="1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https://www.airdna.co/vacation-rental-data/app/us/ohio/cleveland/overview
Basis/date: Trailing 12 months; market-wide active listings
Retrieved/reviewed September 21, 2026. Not a property-level quote.</x:t>
        </x:r>
      </x:text>
    </x:comment>
    <x:comment ref="E80" authorId="1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https://www.airdna.co/vacation-rental-data/app/us/ohio/akron/overview
Basis/date: Not disclosed
Retrieved/reviewed September 21, 2026. Not a property-level quote.</x:t>
        </x:r>
      </x:text>
    </x:comment>
    <x:comment ref="G80" authorId="1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https://www.airdna.co/vacation-rental-data/app/us/ohio/akron/overview
Basis/date: Trailing 12 months; market-wide active listings
Retrieved/reviewed September 21, 2026. Not a property-level quote.</x:t>
        </x:r>
      </x:text>
    </x:comment>
    <x:comment ref="E81" authorId="1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https://www.airdna.co/vacation-rental-data/app/us/pennsylvania/pittsburgh/overview
Basis/date: 2026-06
Retrieved/reviewed September 21, 2026. Not a property-level quote.</x:t>
        </x:r>
      </x:text>
    </x:comment>
    <x:comment ref="G81" authorId="1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https://www.airdna.co/vacation-rental-data/app/us/pennsylvania/pittsburgh/overview
Basis/date: Trailing 12 months; market-wide active listings
Retrieved/reviewed September 21, 2026. Not a property-level quote.</x:t>
        </x:r>
      </x:text>
    </x:comment>
    <x:comment ref="E82" authorId="1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https://www.airdna.co/vacation-rental-data/app/us/tennessee/chattanooga/overview
Basis/date: 2026-06
Retrieved/reviewed September 21, 2026. Not a property-level quote.</x:t>
        </x:r>
      </x:text>
    </x:comment>
    <x:comment ref="G82" authorId="1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https://www.airdna.co/vacation-rental-data/app/us/tennessee/chattanooga/overview
Basis/date: Trailing 12 months; market-wide active listings
Retrieved/reviewed September 21, 2026. Not a property-level quote.</x:t>
        </x:r>
      </x:text>
    </x:comment>
    <x:comment ref="E83" authorId="1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https://www.airdna.co/vacation-rental-data/app/us/tennessee/knoxville/overview
Basis/date: 2026-07
Retrieved/reviewed September 21, 2026. Not a property-level quote.</x:t>
        </x:r>
      </x:text>
    </x:comment>
    <x:comment ref="G83" authorId="1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https://www.airdna.co/vacation-rental-data/app/us/tennessee/knoxville/overview
Basis/date: Trailing 12 months; market-wide active listings
Retrieved/reviewed September 21, 2026. Not a property-level quote.</x:t>
        </x:r>
      </x:text>
    </x:comment>
    <x:comment ref="E84" authorId="1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https://www.airdna.co/vacation-rental-data/app/us/tennessee/nashville/overview
Basis/date: 2026-08
Retrieved/reviewed September 21, 2026. Not a property-level quote.</x:t>
        </x:r>
      </x:text>
    </x:comment>
    <x:comment ref="G84" authorId="1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https://www.airdna.co/vacation-rental-data/app/us/tennessee/nashville/overview
Basis/date: Trailing 12 months; market-wide active listings
Retrieved/reviewed September 21, 2026. Not a property-level quote.</x:t>
        </x:r>
      </x:text>
    </x:comment>
    <x:comment ref="E85" authorId="15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https://www.airdna.co/vacation-rental-data/app/us/georgia/savannah/overview
Basis/date: 2026-07
Retrieved/reviewed September 21, 2026. Not a property-level quote.</x:t>
        </x:r>
      </x:text>
    </x:comment>
    <x:comment ref="G85" authorId="15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https://www.airdna.co/vacation-rental-data/app/us/georgia/savannah/overview
Basis/date: Trailing 12 months; market-wide active listings
Retrieved/reviewed September 21, 2026. Not a property-level quote.</x:t>
        </x:r>
      </x:text>
    </x:comment>
    <x:comment ref="E86" authorId="15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https://www.airdna.co/vacation-rental-data/app/us/georgia/athens/overview
Basis/date: 2026-06
Retrieved/reviewed September 21, 2026. Not a property-level quote.</x:t>
        </x:r>
      </x:text>
    </x:comment>
    <x:comment ref="G86" authorId="15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https://www.airdna.co/vacation-rental-data/app/us/georgia/athens/overview
Basis/date: Trailing 12 months; market-wide active listings
Retrieved/reviewed September 21, 2026. Not a property-level quote.</x:t>
        </x:r>
      </x:text>
    </x:comment>
    <x:comment ref="E87" authorId="16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https://www.airdna.co/vacation-rental-data/app/us/arizona/flagstaff/overview
Basis/date: 2026-07
Retrieved/reviewed September 21, 2026. Not a property-level quote.</x:t>
        </x:r>
      </x:text>
    </x:comment>
    <x:comment ref="G87" authorId="16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https://www.airdna.co/vacation-rental-data/app/us/arizona/flagstaff/overview
Basis/date: Trailing 12 months; market-wide active listings
Retrieved/reviewed September 21, 2026. Not a property-level quote.</x:t>
        </x:r>
      </x:text>
    </x:comment>
    <x:comment ref="E88" authorId="16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https://www.airdna.co/vacation-rental-data/app/us/arizona/sedona/overview
Basis/date: 2026-07
Retrieved/reviewed September 21, 2026. Not a property-level quote.</x:t>
        </x:r>
      </x:text>
    </x:comment>
    <x:comment ref="G88" authorId="16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https://www.airdna.co/vacation-rental-data/app/us/arizona/sedona/overview
Basis/date: Trailing 12 months; market-wide active listings
Retrieved/reviewed September 21, 2026. Not a property-level quote.</x:t>
        </x:r>
      </x:text>
    </x:comment>
    <x:comment ref="E89" authorId="16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https://rabbu.com/airbnb-data/scottsdale-az
Basis/date: Snapshot Apr 27, 2026; annual revenue historical 12-month average
Retrieved/reviewed September 21, 2026. Not a property-level quote.</x:t>
        </x:r>
      </x:text>
    </x:comment>
    <x:comment ref="G89" authorId="16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https://rabbu.com/airbnb-data/scottsdale-az
Basis/date: Historical 12-month average (Rabbu)
Retrieved/reviewed September 21, 2026. Not a property-level quote.</x:t>
        </x:r>
      </x:text>
    </x:comment>
    <x:comment ref="E90" authorId="16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https://www.airdna.co/vacation-rental-data/app/us/arizona/tucson/overview
Basis/date: 2026-08
Retrieved/reviewed September 21, 2026. Not a property-level quote.</x:t>
        </x:r>
      </x:text>
    </x:comment>
    <x:comment ref="G90" authorId="16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https://www.airdna.co/vacation-rental-data/app/us/arizona/tucson/overview
Basis/date: Trailing 12 months; market-wide active listings
Retrieved/reviewed September 21, 2026. Not a property-level quote.</x:t>
        </x:r>
      </x:text>
    </x:comment>
    <x:comment ref="E91" authorId="16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https://www.airdna.co/vacation-rental-data/app/us/california/joshua-tree/overview
Basis/date: 2026-06
Retrieved/reviewed September 21, 2026. Not a property-level quote.</x:t>
        </x:r>
      </x:text>
    </x:comment>
    <x:comment ref="G91" authorId="16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https://www.airdna.co/vacation-rental-data/app/us/california/joshua-tree/overview
Basis/date: Trailing 12 months; market-wide active listings
Retrieved/reviewed September 21, 2026. Not a property-level quote.</x:t>
        </x:r>
      </x:text>
    </x:comment>
    <x:comment ref="E92" authorId="17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https://www.airdna.co/vacation-rental-data/app/us/california/big-bear-lake/overview
Basis/date: 2026-07
Retrieved/reviewed September 21, 2026. Not a property-level quote.</x:t>
        </x:r>
      </x:text>
    </x:comment>
    <x:comment ref="G92" authorId="17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https://www.airdna.co/vacation-rental-data/app/us/california/big-bear-lake/overview
Basis/date: Trailing 12 months; market-wide active listings
Retrieved/reviewed September 21, 2026. Not a property-level quote.</x:t>
        </x:r>
      </x:text>
    </x:comment>
    <x:comment ref="E93" authorId="17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https://www.airdna.co/vacation-rental-data/app/us/california/palm-springs/overview
Basis/date: 2026-07
Retrieved/reviewed September 21, 2026. Not a property-level quote.</x:t>
        </x:r>
      </x:text>
    </x:comment>
    <x:comment ref="G93" authorId="17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https://www.airdna.co/vacation-rental-data/app/us/california/palm-springs/overview
Basis/date: Trailing 12 months; market-wide active listings
Retrieved/reviewed September 21, 2026. Not a property-level quote.</x:t>
        </x:r>
      </x:text>
    </x:comment>
    <x:comment ref="E94" authorId="17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https://www.airdna.co/vacation-rental-data/app/us/california/mammoth-lakes/overview
Basis/date: 2026-06
Retrieved/reviewed September 21, 2026. Not a property-level quote.</x:t>
        </x:r>
      </x:text>
    </x:comment>
    <x:comment ref="G94" authorId="17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https://www.airdna.co/vacation-rental-data/app/us/california/mammoth-lakes/overview
Basis/date: Trailing 12 months; market-wide active listings
Retrieved/reviewed September 21, 2026. Not a property-level quote.</x:t>
        </x:r>
      </x:text>
    </x:comment>
    <x:comment ref="E95" authorId="17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https://www.airdna.co/vacation-rental-data/app/us/colorado/breckenridge/overview
Basis/date: 2026-08
Retrieved/reviewed September 21, 2026. Not a property-level quote.</x:t>
        </x:r>
      </x:text>
    </x:comment>
    <x:comment ref="G95" authorId="17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https://www.airdna.co/vacation-rental-data/app/us/colorado/breckenridge/overview
Basis/date: Trailing 12 months; market-wide active listings
Retrieved/reviewed September 21, 2026. Not a property-level quote.</x:t>
        </x:r>
      </x:text>
    </x:comment>
    <x:comment ref="E96" authorId="17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https://www.airdna.co/vacation-rental-data/app/us/colorado/estes-park/overview
Basis/date: 2026-07
Retrieved/reviewed September 21, 2026. Not a property-level quote.</x:t>
        </x:r>
      </x:text>
    </x:comment>
    <x:comment ref="G96" authorId="17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https://www.airdna.co/vacation-rental-data/app/us/colorado/estes-park/overview
Basis/date: Trailing 12 months; market-wide active listings
Retrieved/reviewed September 21, 2026. Not a property-level quote.</x:t>
        </x:r>
      </x:text>
    </x:comment>
    <x:comment ref="E97" authorId="18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https://www.airdna.co/vacation-rental-data/app/us/colorado/pagosa-springs/overview
Basis/date: 2026-07
Retrieved/reviewed September 21, 2026. Not a property-level quote.</x:t>
        </x:r>
      </x:text>
    </x:comment>
    <x:comment ref="G97" authorId="18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https://www.airdna.co/vacation-rental-data/app/us/colorado/pagosa-springs/overview
Basis/date: Trailing 12 months; market-wide active listings
Retrieved/reviewed September 21, 2026. Not a property-level quote.</x:t>
        </x:r>
      </x:text>
    </x:comment>
    <x:comment ref="E98" authorId="18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https://www.airdna.co/vacation-rental-data/app/us/colorado/durango/overview
Basis/date: Not disclosed
Retrieved/reviewed September 21, 2026. Not a property-level quote.</x:t>
        </x:r>
      </x:text>
    </x:comment>
    <x:comment ref="G98" authorId="18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https://www.airdna.co/vacation-rental-data/app/us/colorado/durango/overview
Basis/date: Trailing 12 months; market-wide active listings
Retrieved/reviewed September 21, 2026. Not a property-level quote.</x:t>
        </x:r>
      </x:text>
    </x:comment>
    <x:comment ref="E99" authorId="18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https://www.airdna.co/vacation-rental-data/app/us/utah/park-city/overview
Basis/date: 2026-06
Retrieved/reviewed September 21, 2026. Not a property-level quote.</x:t>
        </x:r>
      </x:text>
    </x:comment>
    <x:comment ref="G99" authorId="18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https://www.airdna.co/vacation-rental-data/app/us/utah/park-city/overview
Basis/date: Trailing 12 months; market-wide active listings
Retrieved/reviewed September 21, 2026. Not a property-level quote.</x:t>
        </x:r>
      </x:text>
    </x:comment>
    <x:comment ref="E100" authorId="18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https://www.airdna.co/vacation-rental-data/app/us/utah/hurricane/overview
Basis/date: 2026-05
Retrieved/reviewed September 21, 2026. Not a property-level quote.</x:t>
        </x:r>
      </x:text>
    </x:comment>
    <x:comment ref="G100" authorId="18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https://www.airdna.co/vacation-rental-data/app/us/utah/hurricane/overview
Basis/date: Trailing 12 months; market-wide active listings
Retrieved/reviewed September 21, 2026. Not a property-level quote.</x:t>
        </x:r>
      </x:text>
    </x:comment>
    <x:comment ref="E101" authorId="18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https://www.airdna.co/vacation-rental-data/app/us/utah/moab/overview
Basis/date: 2026-07
Retrieved/reviewed September 21, 2026. Not a property-level quote.</x:t>
        </x:r>
      </x:text>
    </x:comment>
    <x:comment ref="G101" authorId="18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https://www.airdna.co/vacation-rental-data/app/us/utah/moab/overview
Basis/date: Trailing 12 months; market-wide active listings
Retrieved/reviewed September 21, 2026. Not a property-level quote.</x:t>
        </x:r>
      </x:text>
    </x:comment>
    <x:comment ref="E102" authorId="19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https://www.airdna.co/vacation-rental-data/app/us/montana/whitefish/overview
Basis/date: 2026-07
Retrieved/reviewed September 21, 2026. Not a property-level quote.</x:t>
        </x:r>
      </x:text>
    </x:comment>
    <x:comment ref="G102" authorId="19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https://www.airdna.co/vacation-rental-data/app/us/montana/whitefish/overview
Basis/date: Trailing 12 months; market-wide active listings
Retrieved/reviewed September 21, 2026. Not a property-level quote.</x:t>
        </x:r>
      </x:text>
    </x:comment>
    <x:comment ref="E103" authorId="19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https://www.airdna.co/vacation-rental-data/app/us/montana/west-yellowstone/overview
Basis/date: Not disclosed
Retrieved/reviewed September 21, 2026. Not a property-level quote.</x:t>
        </x:r>
      </x:text>
    </x:comment>
    <x:comment ref="G103" authorId="19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https://www.airdna.co/vacation-rental-data/app/us/montana/west-yellowstone/overview
Basis/date: Trailing 12 months; market-wide active listings
Retrieved/reviewed September 21, 2026. Not a property-level quote.</x:t>
        </x:r>
      </x:text>
    </x:comment>
    <x:comment ref="E104" authorId="19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https://www.airdna.co/vacation-rental-data/app/us/oregon/bend/overview
Basis/date: 2026-07
Retrieved/reviewed September 21, 2026. Not a property-level quote.</x:t>
        </x:r>
      </x:text>
    </x:comment>
    <x:comment ref="G104" authorId="19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https://www.airdna.co/vacation-rental-data/app/us/oregon/bend/overview
Basis/date: Trailing 12 months; market-wide active listings
Retrieved/reviewed September 21, 2026. Not a property-level quote.</x:t>
        </x:r>
      </x:text>
    </x:comment>
    <x:comment ref="E105" authorId="19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https://www.airdna.co/vacation-rental-data/app/us/oregon/lincoln-city/overview
Basis/date: 2026-07
Retrieved/reviewed September 21, 2026. Not a property-level quote.</x:t>
        </x:r>
      </x:text>
    </x:comment>
    <x:comment ref="G105" authorId="19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https://www.airdna.co/vacation-rental-data/app/us/oregon/lincoln-city/overview
Basis/date: Trailing 12 months; market-wide active listings
Retrieved/reviewed September 21, 2026. Not a property-level quote.</x:t>
        </x:r>
      </x:text>
    </x:comment>
    <x:comment ref="E106" authorId="19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https://www.airdna.co/vacation-rental-data/app/us/maine/bar-harbor/overview
Basis/date: 2026-06
Retrieved/reviewed September 21, 2026. Not a property-level quote.</x:t>
        </x:r>
      </x:text>
    </x:comment>
    <x:comment ref="G106" authorId="19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https://www.airdna.co/vacation-rental-data/app/us/maine/bar-harbor/overview
Basis/date: Trailing 12 months; market-wide active listings
Retrieved/reviewed September 21, 2026. Not a property-level quote.</x:t>
        </x:r>
      </x:text>
    </x:comment>
  </x:commentList>
</x:comments>
</file>

<file path=xl/comments2.xml><?xml version="1.0" encoding="utf-8"?>
<x:comments xmlns:x="http://schemas.openxmlformats.org/spreadsheetml/2006/main">
  <x:authors>
    <x:author>tc={AEE68C17-0858-D39D-9AF5-AB39D86BA816}</x:author>
    <x:author>tc={F0AF9EA7-3E41-CCBE-C4F1-9C762070AE78}</x:author>
    <x:author>tc={3068EEA5-0C98-BD4B-AA5E-E583817DD5F3}</x:author>
    <x:author>tc={8829F95C-A76D-D354-53AC-1871E1D11FF9}</x:author>
    <x:author>tc={AE9416D6-542C-1A96-0A97-0C9F0FE5E9FF}</x:author>
    <x:author>tc={992E0E6F-2B2D-4D4A-9DFB-2E62B91F0ED6}</x:author>
    <x:author>tc={3C3F997C-9D37-D6A1-0F0D-9453C2D0F04D}</x:author>
    <x:author>tc={6DEB8075-92DD-17D1-D756-BD6FA18D0F76}</x:author>
    <x:author>tc={D50AE000-1DE0-5F92-6171-1CB37F310195}</x:author>
    <x:author>tc={85A0EC2C-ECB5-F213-6274-6C7A2D4869FF}</x:author>
    <x:author>tc={3EF008B3-4CFC-200A-8406-AAFBFD6AF2B6}</x:author>
    <x:author>tc={076F24B7-1DE6-C429-2D14-164029F17E28}</x:author>
    <x:author>tc={2612A4B8-2DC8-48FE-DF35-EAF3279A92E2}</x:author>
    <x:author>tc={3CB568B5-1484-26F6-21AF-465EE441F551}</x:author>
    <x:author>tc={F1E3A148-CB2D-0C7D-BC68-D309C1BF2BD0}</x:author>
    <x:author>tc={9FD6302E-7C2D-A4D7-249E-4BEBF6EAB02E}</x:author>
    <x:author>tc={EBD82EC8-564B-CA51-D7C8-49F98B77517F}</x:author>
    <x:author>tc={A0B54690-44B7-973E-F55E-B803B080ADFC}</x:author>
    <x:author>tc={3A603020-E5E1-AF6B-CBF4-D845C6179489}</x:author>
    <x:author>tc={22D4FD6E-D02F-9AFB-8C1C-A23C4C88FB9F}</x:author>
    <x:author>tc={374FE213-1A17-7142-1503-5562068A0F44}</x:author>
    <x:author>tc={E7D0D073-40EA-29DD-B7B2-D5DBC9AB8E88}</x:author>
    <x:author>tc={637FDED6-23D2-E64F-3503-614652D468B3}</x:author>
    <x:author>tc={6A79998F-7C32-7709-C70E-1E7412A56429}</x:author>
    <x:author>tc={3C813EB6-212C-1133-EFCD-CED62EB1CF39}</x:author>
    <x:author>tc={5A4A7B90-AE21-1850-0E19-CA2624BB32A3}</x:author>
    <x:author>tc={9E9F917B-D7E3-0259-B711-F579F1BF0CF2}</x:author>
    <x:author>tc={D33C2D72-5790-0C92-2DA4-E693DD0D403C}</x:author>
    <x:author>tc={F6485042-C7BC-CB59-1E56-68FBDC660938}</x:author>
    <x:author>tc={7F28BB94-55DD-9A89-42A2-6D71C709A7B0}</x:author>
    <x:author>tc={F688972B-A41E-B577-0280-7D701EBCA54B}</x:author>
  </x:authors>
  <x:commentList>
    <x:comment ref="C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https://www.zillow.com/home-values/7018/sevierville-tn/
Basis/date: 2026-04-30
Retrieved/reviewed September 21, 2026. Not a property-level quote.</x:t>
        </x:r>
      </x:text>
    </x:comment>
    <x:comment ref="C8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https://www.zillow.com/home-values/18258/gatlinburg-tn/
Basis/date: 2026-08-31
Retrieved/reviewed September 21, 2026. Not a property-level quote.</x:t>
        </x:r>
      </x:text>
    </x:comment>
    <x:comment ref="C13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https://www.zillow.com/home-values/3788/branson-mo/
Basis/date: 2026-08-31
Retrieved/reviewed September 21, 2026. Not a property-level quote.</x:t>
        </x:r>
      </x:text>
    </x:comment>
    <x:comment ref="G13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https://www.zillow.com/home-values/3788/branson-mo/
Basis/date: Zillow Observed Rent Index (ZORI) on housing-market page; not lease quote
Retrieved/reviewed September 21, 2026. Not a property-level quote.</x:t>
        </x:r>
      </x:text>
    </x:comment>
    <x:comment ref="C15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https://www.zillow.com/home-values/18411/gulf-shores-al/
Basis/date: 2026-04-30
Retrieved/reviewed September 21, 2026. Not a property-level quote.</x:t>
        </x:r>
      </x:text>
    </x:comment>
    <x:comment ref="C16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https://www.zillow.com/home-values/56112/orange-beach-al/
Basis/date: 2026-08-31
Retrieved/reviewed September 21, 2026. Not a property-level quote.</x:t>
        </x:r>
      </x:text>
    </x:comment>
    <x:comment ref="C17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https://www.zillow.com/home-values/6391/panama-city%20beach-fl/
Basis/date: 2026-08-31
Retrieved/reviewed September 21, 2026. Not a property-level quote.</x:t>
        </x:r>
      </x:text>
    </x:comment>
    <x:comment ref="C18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https://www.zillow.com/home-values/11102/destin-fl/
Basis/date: 2026-08-31
Retrieved/reviewed September 21, 2026. Not a property-level quote.</x:t>
        </x:r>
      </x:text>
    </x:comment>
    <x:comment ref="C2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https://www.zillow.com/home-values/18847/kissimmee-fl/
Basis/date: 2026-08-31
Retrieved/reviewed September 21, 2026. Not a property-level quote.</x:t>
        </x:r>
      </x:text>
    </x:comment>
    <x:comment ref="C22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https://www.zillow.com/home-values/24319/davenport-fl/
Basis/date: 2026-08-31
Retrieved/reviewed September 21, 2026. Not a property-level quote.</x:t>
        </x:r>
      </x:text>
    </x:comment>
    <x:comment ref="G22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https://www.zillow.com/home-values/24319/davenport-fl/
Basis/date: Zillow Observed Rent Index (ZORI) on housing-market page; not lease quote
Retrieved/reviewed September 21, 2026. Not a property-level quote.</x:t>
        </x:r>
      </x:text>
    </x:comment>
    <x:comment ref="C64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https://www.zillow.com/home-values/6915/san-antonio-tx/
Basis/date: 2026-07-31
Retrieved/reviewed September 21, 2026. Not a property-level quote.</x:t>
        </x:r>
      </x:text>
    </x:comment>
    <x:comment ref="G64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https://www.zillow.com/rental-manager/market-trends/san-antonio-tx/
Basis/date: Zillow Rentals average asking rent; all bedrooms/all property types
Retrieved/reviewed September 21, 2026. Not a property-level quote.</x:t>
        </x:r>
      </x:text>
    </x:comment>
    <x:comment ref="C69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https://www.zillow.com/home-values/20859/tulsa-ok/
Basis/date: 2026-08-31
Retrieved/reviewed September 21, 2026. Not a property-level quote.</x:t>
        </x:r>
      </x:text>
    </x:comment>
    <x:comment ref="G69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https://www.zillow.com/rental-manager/market-trends/tulsa-ok/
Basis/date: Zillow Rentals average asking rent; all bedrooms/all property types
Retrieved/reviewed September 21, 2026. Not a property-level quote.</x:t>
        </x:r>
      </x:text>
    </x:comment>
    <x:comment ref="G72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https://www.zillow.com/rental-manager/market-trends/huntsville-al/
Basis/date: Zillow Rentals average asking rent; all bedrooms/all property types
Retrieved/reviewed September 21, 2026. Not a property-level quote.</x:t>
        </x:r>
      </x:text>
    </x:comment>
    <x:comment ref="C73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https://www.zillow.com/home-values/10417/birmingham-al/
Basis/date: 2026-08-31
Retrieved/reviewed September 21, 2026. Not a property-level quote.</x:t>
        </x:r>
      </x:text>
    </x:comment>
    <x:comment ref="G73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https://www.zillow.com/rental-manager/market-trends/birmingham-al/
Basis/date: Zillow Rentals average asking rent; all bedrooms/all property types
Retrieved/reviewed September 21, 2026. Not a property-level quote.</x:t>
        </x:r>
      </x:text>
    </x:comment>
    <x:comment ref="G74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https://www.zillow.com/rental-manager/market-trends/montgomery-al/
Basis/date: Zillow Rentals average asking rent; all bedrooms/all property types
Retrieved/reviewed September 21, 2026. Not a property-level quote.</x:t>
        </x:r>
      </x:text>
    </x:comment>
    <x:comment ref="G75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https://www.zillow.com/rental-manager/market-trends/louisville-ky/
Basis/date: Zillow Rentals average asking rent; all bedrooms/all property types
Retrieved/reviewed September 21, 2026. Not a property-level quote.</x:t>
        </x:r>
      </x:text>
    </x:comment>
    <x:comment ref="G76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https://www.zillow.com/rental-manager/market-trends/lexington-ky/
Basis/date: Zillow Rentals average asking rent; all bedrooms/all property types
Retrieved/reviewed September 21, 2026. Not a property-level quote.</x:t>
        </x:r>
      </x:text>
    </x:comment>
    <x:comment ref="G77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https://www.zillow.com/rental-manager/market-trends/indianapolis-in/
Basis/date: Zillow Rentals average asking rent; all bedrooms/all property types
Retrieved/reviewed September 21, 2026. Not a property-level quote.</x:t>
        </x:r>
      </x:text>
    </x:comment>
    <x:comment ref="G78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https://www.zillow.com/rental-manager/market-trends/columbus-oh/
Basis/date: Zillow Rentals average asking rent; all bedrooms/all property types
Retrieved/reviewed September 21, 2026. Not a property-level quote.</x:t>
        </x:r>
      </x:text>
    </x:comment>
    <x:comment ref="G79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https://www.zillow.com/rental-manager/market-trends/cleveland-oh/
Basis/date: Zillow Rentals average asking rent; all bedrooms/all property types
Retrieved/reviewed September 21, 2026. Not a property-level quote.</x:t>
        </x:r>
      </x:text>
    </x:comment>
    <x:comment ref="G80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https://www.zillow.com/rental-manager/market-trends/akron-oh/
Basis/date: Zillow Rentals average asking rent; all bedrooms/all property types
Retrieved/reviewed September 21, 2026. Not a property-level quote.</x:t>
        </x:r>
      </x:text>
    </x:comment>
    <x:comment ref="G81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https://www.zillow.com/rental-manager/market-trends/pittsburgh-pa/
Basis/date: Zillow Rentals average asking rent; all bedrooms/all property types
Retrieved/reviewed September 21, 2026. Not a property-level quote.</x:t>
        </x:r>
      </x:text>
    </x:comment>
    <x:comment ref="G82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https://www.zillow.com/rental-manager/market-trends/chattanooga-tn/
Basis/date: Zillow Rentals average asking rent; all bedrooms/all property types
Retrieved/reviewed September 21, 2026. Not a property-level quote.</x:t>
        </x:r>
      </x:text>
    </x:comment>
    <x:comment ref="C89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https://www.zillow.com/home-values/54346/scottsdale-az/
Basis/date: 2026-07-31
Retrieved/reviewed September 21, 2026. Not a property-level quote.</x:t>
        </x:r>
      </x:text>
    </x:comment>
    <x:comment ref="C91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https://www.zillow.com/home-values/35723/joshua-tree-ca/
Basis/date: 2026-08-31
Retrieved/reviewed September 21, 2026. Not a property-level quote.</x:t>
        </x:r>
      </x:text>
    </x:comment>
    <x:comment ref="C92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https://www.zillow.com/home-values/44161/big-bear-lake-ca/
Basis/date: 2026-08-31
Retrieved/reviewed September 21, 2026. Not a property-level quote.</x:t>
        </x:r>
      </x:text>
    </x:comment>
    <x:comment ref="G92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https://www.zillow.com/home-values/44161/big-bear-lake-ca/
Basis/date: Zillow Observed Rent Index (ZORI) on housing-market page; not lease quote
Retrieved/reviewed September 21, 2026. Not a property-level quote.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$#,##0;[Red]($#,##0);&quot;-&quot;"/>
    <x:numFmt numFmtId="201" formatCode="0.0%;[Red](0.0%);&quot;-&quot;"/>
    <x:numFmt numFmtId="202" formatCode="#,##0;[Red](#,##0);&quot;-&quot;"/>
    <x:numFmt numFmtId="203" formatCode="0"/>
    <x:numFmt numFmtId="204" formatCode="0%"/>
    <x:numFmt numFmtId="205" formatCode="$#,##0"/>
    <x:numFmt numFmtId="206" formatCode="#,##0"/>
  </x:numFmts>
  <x:fonts count="28">
    <x:font>
      <x:sz val="11"/>
      <x:name val="Carlito"/>
    </x:font>
    <x:font>
      <x:sz val="11"/>
      <x:color rgb="FF132A3A"/>
      <x:name val="Calibri"/>
    </x:font>
    <x:font>
      <x:b/>
      <x:sz val="23"/>
      <x:color rgb="FFFFFFFF"/>
      <x:name val="Calibri"/>
    </x:font>
    <x:font>
      <x:sz val="11"/>
      <x:color rgb="FF132A3A"/>
      <x:name val="Calibri"/>
    </x:font>
    <x:font>
      <x:b/>
      <x:sz val="14"/>
      <x:color rgb="FF132A3A"/>
      <x:name val="Calibri"/>
    </x:font>
    <x:font>
      <x:b/>
      <x:sz val="11"/>
      <x:color rgb="FFFFFFFF"/>
      <x:name val="Calibri"/>
    </x:font>
    <x:font>
      <x:b/>
      <x:sz val="11"/>
      <x:color rgb="FF132A3A"/>
      <x:name val="Calibri"/>
    </x:font>
    <x:font>
      <x:sz val="10"/>
      <x:color rgb="FF132A3A"/>
      <x:name val="Aptos"/>
    </x:font>
    <x:font>
      <x:b/>
      <x:sz val="21"/>
      <x:color rgb="FFFFFFFF"/>
      <x:name val="Aptos"/>
    </x:font>
    <x:font>
      <x:sz val="10"/>
      <x:color rgb="FF526572"/>
      <x:name val="Aptos"/>
    </x:font>
    <x:font>
      <x:b/>
      <x:sz val="10"/>
      <x:color rgb="FFFFFFFF"/>
      <x:name val="Aptos"/>
    </x:font>
    <x:font>
      <x:sz val="10"/>
      <x:color rgb="FF008000"/>
      <x:name val="Aptos"/>
    </x:font>
    <x:font>
      <x:sz val="10"/>
      <x:color rgb="FF0000FF"/>
      <x:name val="Aptos"/>
    </x:font>
    <x:font>
      <x:b/>
      <x:sz val="10"/>
      <x:color rgb="FF1F2A24"/>
      <x:name val="Instrument Sans"/>
    </x:font>
    <x:font>
      <x:sz val="10"/>
      <x:color rgb="FF1F2A24"/>
      <x:name val="Instrument Sans"/>
    </x:font>
    <x:font>
      <x:b/>
      <x:sz val="18"/>
      <x:color rgb="FFFBF8F1"/>
      <x:name val="Newsreader"/>
    </x:font>
    <x:font>
      <x:i/>
      <x:sz val="9"/>
      <x:color rgb="FF4A5850"/>
      <x:name val="Instrument Sans"/>
    </x:font>
    <x:font>
      <x:b/>
      <x:sz val="10"/>
      <x:color rgb="FF16352A"/>
      <x:name val="Instrument Sans"/>
    </x:font>
    <x:font>
      <x:b/>
      <x:sz val="10"/>
      <x:color rgb="FFB0503C"/>
      <x:name val="Instrument Sans"/>
    </x:font>
    <x:font>
      <x:b/>
      <x:sz val="9"/>
      <x:color rgb="FF8A6510"/>
      <x:name val="Instrument Sans"/>
    </x:font>
    <x:font>
      <x:b/>
      <x:sz val="9"/>
      <x:color rgb="FFFBF8F1"/>
      <x:name val="Instrument Sans"/>
    </x:font>
    <x:font>
      <x:sz val="9"/>
      <x:color rgb="FF1F2A24"/>
      <x:name val="Instrument Sans"/>
    </x:font>
    <x:font>
      <x:sz val="9"/>
      <x:color rgb="FF4A5850"/>
      <x:name val="Instrument Sans"/>
    </x:font>
    <x:font>
      <x:b/>
      <x:sz val="24"/>
      <x:color rgb="FFFBF8F1"/>
      <x:name val="Newsreader"/>
    </x:font>
    <x:font>
      <x:i/>
      <x:sz val="10"/>
      <x:color rgb="FF4A5850"/>
      <x:name val="Instrument Sans"/>
    </x:font>
    <x:font>
      <x:b/>
      <x:sz val="10"/>
      <x:color rgb="FF8A6510"/>
      <x:name val="Instrument Sans"/>
    </x:font>
    <x:font>
      <x:b/>
      <x:sz val="9"/>
      <x:color rgb="FF4A5850"/>
      <x:name val="Instrument Sans"/>
    </x:font>
    <x:font>
      <x:sz val="9"/>
      <x:color rgb="FFB0503C"/>
      <x:name val="Instrument Sans"/>
    </x:font>
  </x:fonts>
  <x:fills count="13">
    <x:fill>
      <x:patternFill patternType="none"/>
    </x:fill>
    <x:fill>
      <x:patternFill patternType="gray125"/>
    </x:fill>
    <x:fill>
      <x:patternFill patternType="solid">
        <x:fgColor rgb="FF132A3A"/>
      </x:patternFill>
    </x:fill>
    <x:fill>
      <x:patternFill patternType="solid">
        <x:fgColor rgb="FFF2F5F7"/>
      </x:patternFill>
    </x:fill>
    <x:fill>
      <x:patternFill patternType="solid">
        <x:fgColor rgb="FFEAF4F7"/>
      </x:patternFill>
    </x:fill>
    <x:fill>
      <x:patternFill patternType="solid">
        <x:fgColor rgb="FF136F73"/>
      </x:patternFill>
    </x:fill>
    <x:fill>
      <x:patternFill patternType="solid">
        <x:fgColor rgb="FFFFFFFF"/>
      </x:patternFill>
    </x:fill>
    <x:fill>
      <x:patternFill patternType="solid">
        <x:fgColor rgb="FFFBF8F1"/>
      </x:patternFill>
    </x:fill>
    <x:fill>
      <x:patternFill patternType="solid">
        <x:fgColor rgb="FF16352A"/>
      </x:patternFill>
    </x:fill>
    <x:fill>
      <x:patternFill patternType="solid">
        <x:fgColor rgb="FFE4EFE5"/>
      </x:patternFill>
    </x:fill>
    <x:fill>
      <x:patternFill patternType="solid">
        <x:fgColor rgb="FFF6E4DD"/>
      </x:patternFill>
    </x:fill>
    <x:fill>
      <x:patternFill patternType="solid">
        <x:fgColor rgb="FFF6ECD3"/>
      </x:patternFill>
    </x:fill>
    <x:fill>
      <x:patternFill patternType="solid">
        <x:fgColor rgb="FFF3EDDF"/>
      </x:patternFill>
    </x:fill>
  </x:fills>
  <x:borders count="2">
    <x:border/>
    <x:border/>
  </x:borders>
  <x:cellStyleXfs count="1">
    <x:xf numFmtId="0" fontId="0" fillId="0" borderId="0"/>
  </x:cellStyleXfs>
  <x:cellXfs count="14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 wrapText="1"/>
    </x:xf>
    <x:xf numFmtId="0" fontId="7" fillId="2" borderId="1" xfId="0" applyNumberFormat="1" applyFont="1" applyFill="1" applyBorder="1" applyAlignment="1">
      <x:alignment vertical="center" wrapText="1"/>
    </x:xf>
    <x:xf numFmtId="0" fontId="8" fillId="2" borderId="1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 applyAlignment="1">
      <x:alignment vertical="center" wrapText="1"/>
    </x:xf>
    <x:xf numFmtId="0" fontId="9" fillId="4" borderId="1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10" fillId="5" borderId="1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 applyAlignment="1">
      <x:alignment vertical="center" wrapText="1"/>
    </x:xf>
    <x:xf numFmtId="200" fontId="7" fillId="3" borderId="0" xfId="0" applyNumberFormat="1" applyFont="1" applyFill="1" applyBorder="1" applyAlignment="1">
      <x:alignment vertical="center" wrapText="1"/>
    </x:xf>
    <x:xf numFmtId="200" fontId="7" fillId="0" borderId="1" xfId="0" applyNumberFormat="1" applyFont="1" applyFill="1" applyBorder="1" applyAlignment="1">
      <x:alignment vertical="center" wrapText="1"/>
    </x:xf>
    <x:xf numFmtId="200" fontId="7" fillId="3" borderId="1" xfId="0" applyNumberFormat="1" applyFont="1" applyFill="1" applyBorder="1" applyAlignment="1">
      <x:alignment vertical="center" wrapText="1"/>
    </x:xf>
    <x:xf numFmtId="201" fontId="7" fillId="0" borderId="0" xfId="0" applyNumberFormat="1" applyFont="1" applyFill="1" applyBorder="1" applyAlignment="1">
      <x:alignment vertical="center" wrapText="1"/>
    </x:xf>
    <x:xf numFmtId="201" fontId="7" fillId="3" borderId="0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 wrapText="1"/>
    </x:xf>
    <x:xf numFmtId="201" fontId="7" fillId="3" borderId="1" xfId="0" applyNumberFormat="1" applyFont="1" applyFill="1" applyBorder="1" applyAlignment="1">
      <x:alignment vertical="center" wrapText="1"/>
    </x:xf>
    <x:xf numFmtId="202" fontId="7" fillId="0" borderId="0" xfId="0" applyNumberFormat="1" applyFont="1" applyFill="1" applyBorder="1" applyAlignment="1">
      <x:alignment vertical="center" wrapText="1"/>
    </x:xf>
    <x:xf numFmtId="202" fontId="7" fillId="3" borderId="0" xfId="0" applyNumberFormat="1" applyFont="1" applyFill="1" applyBorder="1" applyAlignment="1">
      <x:alignment vertical="center" wrapText="1"/>
    </x:xf>
    <x:xf numFmtId="202" fontId="7" fillId="0" borderId="1" xfId="0" applyNumberFormat="1" applyFont="1" applyFill="1" applyBorder="1" applyAlignment="1">
      <x:alignment vertical="center" wrapText="1"/>
    </x:xf>
    <x:xf numFmtId="202" fontId="7" fillId="3" borderId="1" xfId="0" applyNumberFormat="1" applyFont="1" applyFill="1" applyBorder="1" applyAlignment="1">
      <x:alignment vertical="center" wrapText="1"/>
    </x:xf>
    <x:xf numFmtId="203" fontId="7" fillId="0" borderId="0" xfId="0" applyNumberFormat="1" applyFont="1" applyFill="1" applyBorder="1" applyAlignment="1">
      <x:alignment vertical="center" wrapText="1"/>
    </x:xf>
    <x:xf numFmtId="203" fontId="7" fillId="3" borderId="0" xfId="0" applyNumberFormat="1" applyFont="1" applyFill="1" applyBorder="1" applyAlignment="1">
      <x:alignment vertical="center" wrapText="1"/>
    </x:xf>
    <x:xf numFmtId="203" fontId="7" fillId="0" borderId="1" xfId="0" applyNumberFormat="1" applyFont="1" applyFill="1" applyBorder="1" applyAlignment="1">
      <x:alignment vertical="center" wrapText="1"/>
    </x:xf>
    <x:xf numFmtId="203" fontId="7" fillId="3" borderId="1" xfId="0" applyNumberFormat="1" applyFont="1" applyFill="1" applyBorder="1" applyAlignment="1">
      <x:alignment vertical="center" wrapText="1"/>
    </x:xf>
    <x:xf numFmtId="200" fontId="11" fillId="0" borderId="0" xfId="0" applyNumberFormat="1" applyFont="1" applyFill="1" applyBorder="1" applyAlignment="1">
      <x:alignment vertical="center" wrapText="1"/>
    </x:xf>
    <x:xf numFmtId="200" fontId="11" fillId="3" borderId="0" xfId="0" applyNumberFormat="1" applyFont="1" applyFill="1" applyBorder="1" applyAlignment="1">
      <x:alignment vertical="center" wrapText="1"/>
    </x:xf>
    <x:xf numFmtId="200" fontId="11" fillId="0" borderId="1" xfId="0" applyNumberFormat="1" applyFont="1" applyFill="1" applyBorder="1" applyAlignment="1">
      <x:alignment vertical="center" wrapText="1"/>
    </x:xf>
    <x:xf numFmtId="200" fontId="11" fillId="3" borderId="1" xfId="0" applyNumberFormat="1" applyFont="1" applyFill="1" applyBorder="1" applyAlignment="1">
      <x:alignment vertical="center" wrapText="1"/>
    </x:xf>
    <x:xf numFmtId="0" fontId="1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2" fillId="7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13" fillId="7" borderId="0" xfId="0" applyNumberFormat="1" applyFont="1" applyFill="1" applyBorder="1" applyAlignment="1">
      <x:alignment vertical="center" wrapText="1"/>
    </x:xf>
    <x:xf numFmtId="0" fontId="14" fillId="7" borderId="0" xfId="0" applyNumberFormat="1" applyFont="1" applyFill="1" applyBorder="1" applyAlignment="1">
      <x:alignment vertical="center" wrapText="1"/>
    </x:xf>
    <x:xf numFmtId="0" fontId="13" fillId="8" borderId="0" xfId="0" applyNumberFormat="1" applyFont="1" applyFill="1" applyBorder="1" applyAlignment="1">
      <x:alignment vertical="center" wrapText="1"/>
    </x:xf>
    <x:xf numFmtId="0" fontId="15" fillId="8" borderId="0" xfId="0" applyNumberFormat="1" applyFont="1" applyFill="1" applyBorder="1" applyAlignment="1">
      <x:alignment vertical="center" wrapText="1"/>
    </x:xf>
    <x:xf numFmtId="0" fontId="16" fillId="7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10" fillId="7" borderId="0" xfId="0" applyNumberFormat="1" applyFont="1" applyFill="1" applyBorder="1" applyAlignment="1">
      <x:alignment vertical="center" wrapText="1"/>
    </x:xf>
    <x:xf numFmtId="203" fontId="7" fillId="7" borderId="0" xfId="0" applyNumberFormat="1" applyFont="1" applyFill="1" applyBorder="1" applyAlignment="1">
      <x:alignment vertical="center" wrapText="1"/>
    </x:xf>
    <x:xf numFmtId="200" fontId="7" fillId="7" borderId="0" xfId="0" applyNumberFormat="1" applyFont="1" applyFill="1" applyBorder="1" applyAlignment="1">
      <x:alignment vertical="center" wrapText="1"/>
    </x:xf>
    <x:xf numFmtId="201" fontId="7" fillId="7" borderId="0" xfId="0" applyNumberFormat="1" applyFont="1" applyFill="1" applyBorder="1" applyAlignment="1">
      <x:alignment vertical="center" wrapText="1"/>
    </x:xf>
    <x:xf numFmtId="202" fontId="7" fillId="7" borderId="0" xfId="0" applyNumberFormat="1" applyFont="1" applyFill="1" applyBorder="1" applyAlignment="1">
      <x:alignment vertical="center" wrapText="1"/>
    </x:xf>
    <x:xf numFmtId="203" fontId="14" fillId="7" borderId="0" xfId="0" applyNumberFormat="1" applyFont="1" applyFill="1" applyBorder="1" applyAlignment="1">
      <x:alignment vertical="center" wrapText="1"/>
    </x:xf>
    <x:xf numFmtId="200" fontId="14" fillId="7" borderId="0" xfId="0" applyNumberFormat="1" applyFont="1" applyFill="1" applyBorder="1" applyAlignment="1">
      <x:alignment vertical="center" wrapText="1"/>
    </x:xf>
    <x:xf numFmtId="201" fontId="14" fillId="7" borderId="0" xfId="0" applyNumberFormat="1" applyFont="1" applyFill="1" applyBorder="1" applyAlignment="1">
      <x:alignment vertical="center" wrapText="1"/>
    </x:xf>
    <x:xf numFmtId="202" fontId="14" fillId="7" borderId="0" xfId="0" applyNumberFormat="1" applyFont="1" applyFill="1" applyBorder="1" applyAlignment="1">
      <x:alignment vertical="center" wrapText="1"/>
    </x:xf>
    <x:xf numFmtId="200" fontId="11" fillId="7" borderId="0" xfId="0" applyNumberFormat="1" applyFont="1" applyFill="1" applyBorder="1" applyAlignment="1">
      <x:alignment vertical="center" wrapText="1"/>
    </x:xf>
    <x:xf numFmtId="0" fontId="12" fillId="7" borderId="0" xfId="0" applyNumberFormat="1" applyFont="1" applyFill="1" applyBorder="1" applyAlignment="1">
      <x:alignment vertical="center" wrapText="1"/>
    </x:xf>
    <x:xf numFmtId="0" fontId="13" fillId="9" borderId="0" xfId="0" applyNumberFormat="1" applyFont="1" applyFill="1" applyBorder="1" applyAlignment="1">
      <x:alignment vertical="center" wrapText="1"/>
    </x:xf>
    <x:xf numFmtId="0" fontId="13" fillId="10" borderId="0" xfId="0" applyNumberFormat="1" applyFont="1" applyFill="1" applyBorder="1" applyAlignment="1">
      <x:alignment vertical="center" wrapText="1"/>
    </x:xf>
    <x:xf numFmtId="0" fontId="17" fillId="9" borderId="0" xfId="0" applyNumberFormat="1" applyFont="1" applyFill="1" applyBorder="1" applyAlignment="1">
      <x:alignment vertical="center" wrapText="1"/>
    </x:xf>
    <x:xf numFmtId="0" fontId="18" fillId="10" borderId="0" xfId="0" applyNumberFormat="1" applyFont="1" applyFill="1" applyBorder="1" applyAlignment="1">
      <x:alignment vertical="center" wrapText="1"/>
    </x:xf>
    <x:xf numFmtId="0" fontId="13" fillId="11" borderId="0" xfId="0" applyNumberFormat="1" applyFont="1" applyFill="1" applyBorder="1" applyAlignment="1">
      <x:alignment vertical="center" wrapText="1"/>
    </x:xf>
    <x:xf numFmtId="0" fontId="19" fillId="11" borderId="0" xfId="0" applyNumberFormat="1" applyFont="1" applyFill="1" applyBorder="1" applyAlignment="1">
      <x:alignment vertical="center" wrapText="1"/>
    </x:xf>
    <x:xf numFmtId="0" fontId="14" fillId="11" borderId="0" xfId="0" applyNumberFormat="1" applyFont="1" applyFill="1" applyBorder="1" applyAlignment="1">
      <x:alignment vertical="center" wrapText="1"/>
    </x:xf>
    <x:xf numFmtId="0" fontId="20" fillId="8" borderId="0" xfId="0" applyNumberFormat="1" applyFont="1" applyFill="1" applyBorder="1" applyAlignment="1">
      <x:alignment vertical="center" wrapText="1"/>
    </x:xf>
    <x:xf numFmtId="203" fontId="21" fillId="7" borderId="0" xfId="0" applyNumberFormat="1" applyFont="1" applyFill="1" applyBorder="1" applyAlignment="1">
      <x:alignment vertical="center" wrapText="1"/>
    </x:xf>
    <x:xf numFmtId="0" fontId="21" fillId="7" borderId="0" xfId="0" applyNumberFormat="1" applyFont="1" applyFill="1" applyBorder="1" applyAlignment="1">
      <x:alignment vertical="center" wrapText="1"/>
    </x:xf>
    <x:xf numFmtId="200" fontId="21" fillId="7" borderId="0" xfId="0" applyNumberFormat="1" applyFont="1" applyFill="1" applyBorder="1" applyAlignment="1">
      <x:alignment vertical="center" wrapText="1"/>
    </x:xf>
    <x:xf numFmtId="201" fontId="21" fillId="7" borderId="0" xfId="0" applyNumberFormat="1" applyFont="1" applyFill="1" applyBorder="1" applyAlignment="1">
      <x:alignment vertical="center" wrapText="1"/>
    </x:xf>
    <x:xf numFmtId="202" fontId="21" fillId="7" borderId="0" xfId="0" applyNumberFormat="1" applyFont="1" applyFill="1" applyBorder="1" applyAlignment="1">
      <x:alignment vertical="center" wrapText="1"/>
    </x:xf>
    <x:xf numFmtId="200" fontId="21" fillId="7" borderId="0" xfId="0" applyNumberFormat="1" applyFont="1" applyFill="1" applyBorder="1" applyAlignment="1">
      <x:alignment horizontal="right" vertical="center" wrapText="1"/>
    </x:xf>
    <x:xf numFmtId="201" fontId="21" fillId="7" borderId="0" xfId="0" applyNumberFormat="1" applyFont="1" applyFill="1" applyBorder="1" applyAlignment="1">
      <x:alignment horizontal="right" vertical="center" wrapText="1"/>
    </x:xf>
    <x:xf numFmtId="202" fontId="21" fillId="7" borderId="0" xfId="0" applyNumberFormat="1" applyFont="1" applyFill="1" applyBorder="1" applyAlignment="1">
      <x:alignment horizontal="right" vertical="center" wrapText="1"/>
    </x:xf>
    <x:xf numFmtId="204" fontId="21" fillId="7" borderId="0" xfId="0" applyNumberFormat="1" applyFont="1" applyFill="1" applyBorder="1" applyAlignment="1">
      <x:alignment horizontal="right" vertical="center" wrapText="1"/>
    </x:xf>
    <x:xf numFmtId="205" fontId="21" fillId="7" borderId="0" xfId="0" applyNumberFormat="1" applyFont="1" applyFill="1" applyBorder="1" applyAlignment="1">
      <x:alignment horizontal="right" vertical="center" wrapText="1"/>
    </x:xf>
    <x:xf numFmtId="206" fontId="21" fillId="7" borderId="0" xfId="0" applyNumberFormat="1" applyFont="1" applyFill="1" applyBorder="1" applyAlignment="1">
      <x:alignment horizontal="right" vertical="center" wrapText="1"/>
    </x:xf>
    <x:xf numFmtId="205" fontId="14" fillId="7" borderId="0" xfId="0" applyNumberFormat="1" applyFont="1" applyFill="1" applyBorder="1" applyAlignment="1">
      <x:alignment vertical="center" wrapText="1"/>
    </x:xf>
    <x:xf numFmtId="0" fontId="22" fillId="7" borderId="0" xfId="0" applyNumberFormat="1" applyFont="1" applyFill="1" applyBorder="1" applyAlignment="1">
      <x:alignment vertical="center" wrapText="1"/>
    </x:xf>
    <x:xf numFmtId="0" fontId="14" fillId="9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0" fillId="8" borderId="0" xfId="0" applyNumberFormat="1" applyFont="1" applyFill="1" applyBorder="1"/>
    <x:xf numFmtId="0" fontId="23" fillId="8" borderId="0" xfId="0" applyNumberFormat="1" applyFont="1" applyFill="1" applyBorder="1"/>
    <x:xf numFmtId="0" fontId="24" fillId="7" borderId="0" xfId="0" applyNumberFormat="1" applyFont="1" applyFill="1" applyBorder="1"/>
    <x:xf numFmtId="0" fontId="20" fillId="8" borderId="0" xfId="0" applyNumberFormat="1" applyFont="1" applyFill="1" applyBorder="1"/>
    <x:xf numFmtId="205" fontId="0" fillId="7" borderId="0" xfId="0" applyNumberFormat="1" applyFont="1" applyFill="1" applyBorder="1"/>
    <x:xf numFmtId="204" fontId="0" fillId="7" borderId="0" xfId="0" applyNumberFormat="1" applyFont="1" applyFill="1" applyBorder="1"/>
    <x:xf numFmtId="206" fontId="0" fillId="7" borderId="0" xfId="0" applyNumberFormat="1" applyFont="1" applyFill="1" applyBorder="1"/>
    <x:xf numFmtId="0" fontId="21" fillId="7" borderId="0" xfId="0" applyNumberFormat="1" applyFont="1" applyFill="1" applyBorder="1"/>
    <x:xf numFmtId="205" fontId="21" fillId="7" borderId="0" xfId="0" applyNumberFormat="1" applyFont="1" applyFill="1" applyBorder="1"/>
    <x:xf numFmtId="204" fontId="21" fillId="7" borderId="0" xfId="0" applyNumberFormat="1" applyFont="1" applyFill="1" applyBorder="1"/>
    <x:xf numFmtId="206" fontId="21" fillId="7" borderId="0" xfId="0" applyNumberFormat="1" applyFont="1" applyFill="1" applyBorder="1"/>
    <x:xf numFmtId="0" fontId="0" fillId="11" borderId="0" xfId="0" applyNumberFormat="1" applyFont="1" applyFill="1" applyBorder="1"/>
    <x:xf numFmtId="0" fontId="25" fillId="11" borderId="0" xfId="0" applyNumberFormat="1" applyFont="1" applyFill="1" applyBorder="1"/>
    <x:xf numFmtId="0" fontId="25" fillId="9" borderId="0" xfId="0" applyNumberFormat="1" applyFont="1" applyFill="1" applyBorder="1"/>
    <x:xf numFmtId="0" fontId="26" fillId="7" borderId="0" xfId="0" applyNumberFormat="1" applyFont="1" applyFill="1" applyBorder="1"/>
    <x:xf numFmtId="0" fontId="0" fillId="12" borderId="0" xfId="0" applyNumberFormat="1" applyFont="1" applyFill="1" applyBorder="1"/>
    <x:xf numFmtId="0" fontId="14" fillId="12" borderId="0" xfId="0" applyNumberFormat="1" applyFont="1" applyFill="1" applyBorder="1"/>
    <x:xf numFmtId="205" fontId="14" fillId="12" borderId="0" xfId="0" applyNumberFormat="1" applyFont="1" applyFill="1" applyBorder="1"/>
    <x:xf numFmtId="204" fontId="14" fillId="12" borderId="0" xfId="0" applyNumberFormat="1" applyFont="1" applyFill="1" applyBorder="1"/>
    <x:xf numFmtId="206" fontId="14" fillId="12" borderId="0" xfId="0" applyNumberFormat="1" applyFont="1" applyFill="1" applyBorder="1"/>
    <x:xf numFmtId="0" fontId="0" fillId="10" borderId="0" xfId="0" applyNumberFormat="1" applyFont="1" applyFill="1" applyBorder="1"/>
    <x:xf numFmtId="0" fontId="27" fillId="10" borderId="0" xfId="0" applyNumberFormat="1" applyFont="1" applyFill="1" applyBorder="1"/>
    <x:xf numFmtId="0" fontId="27" fillId="1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855500"/>
      </x:font>
      <x:fill>
        <x:patternFill>
          <x:bgColor rgb="FFFFF1D6"/>
        </x:patternFill>
      </x:fill>
    </x:dxf>
    <x:dxf>
      <x:font>
        <x:color rgb="FFB42318"/>
      </x:font>
      <x:fill>
        <x:patternFill>
          <x:bgColor rgb="FFFDE9E7"/>
        </x:patternFill>
      </x:fill>
    </x:dxf>
    <x:dxf>
      <x:fill>
        <x:patternFill>
          <x:bgColor rgb="FFFFF1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04a1f8128c4853" /><Relationship Type="http://schemas.openxmlformats.org/officeDocument/2006/relationships/theme" Target="/xl/theme/theme1.xml" Id="Rc57934563f194966" /><Relationship Type="http://schemas.openxmlformats.org/officeDocument/2006/relationships/sharedStrings" Target="/xl/sharedStrings.xml" Id="R0ab28c8c72a44eb7" /><Relationship Type="http://schemas.openxmlformats.org/officeDocument/2006/relationships/worksheet" Target="/xl/worksheets/sheet1.xml" Id="R2974e412397146de" /><Relationship Type="http://schemas.openxmlformats.org/officeDocument/2006/relationships/worksheet" Target="/xl/worksheets/sheet2.xml" Id="R28286d15e7f2484f" /><Relationship Type="http://schemas.openxmlformats.org/officeDocument/2006/relationships/worksheet" Target="/xl/worksheets/sheet3.xml" Id="R63e8fe3654514e95" /><Relationship Type="http://schemas.openxmlformats.org/officeDocument/2006/relationships/worksheet" Target="/xl/worksheets/sheet4.xml" Id="Rcc730b39544c4639" /><Relationship Type="http://schemas.openxmlformats.org/officeDocument/2006/relationships/worksheet" Target="/xl/worksheets/sheet5.xml" Id="R5a4b104389cd41bf" /><Relationship Type="http://schemas.openxmlformats.org/officeDocument/2006/relationships/worksheet" Target="/xl/worksheets/sheet6.xml" Id="R447d54e80204463c" /><Relationship Type="http://schemas.openxmlformats.org/officeDocument/2006/relationships/worksheet" Target="/xl/worksheets/sheet7.xml" Id="R88a6fcbf5a2f4c64" /><Relationship Type="http://schemas.openxmlformats.org/officeDocument/2006/relationships/worksheet" Target="/xl/worksheets/sheet8.xml" Id="Rad48cf31c9184694" /><Relationship Type="http://schemas.openxmlformats.org/officeDocument/2006/relationships/worksheet" Target="/xl/worksheets/sheet9.xml" Id="R25185bcfb8144c90" /><Relationship Type="http://schemas.microsoft.com/office/2017/10/relationships/person" Target="/xl/persons/person.xml" Id="Rcf083cb86847410d" /></Relationships>
</file>

<file path=xl/persons/person.xml><?xml version="1.0" encoding="utf-8"?>
<xltc:personList xmlns:xltc="http://schemas.microsoft.com/office/spreadsheetml/2018/threadedcomments">
  <xltc:person displayName="STR Toolkit Research" id="{E24A061B-0655-4EC5-990A-233194B53C1F}"/>
</xltc:personList>
</file>

<file path=xl/tables/table1.xml><?xml version="1.0" encoding="utf-8"?>
<x:table xmlns:x="http://schemas.openxmlformats.org/spreadsheetml/2006/main" id="1" name="MarketsTable" displayName="MarketsTable" ref="A6:M106" headerRowCount="1" totalsRowCount="0" totalsRowShown="0">
  <x:tableColumns count="13">
    <x:tableColumn id="1" name="ID"/>
    <x:tableColumn id="2" name="Market"/>
    <x:tableColumn id="3" name="State"/>
    <x:tableColumn id="4" name="Market type"/>
    <x:tableColumn id="5" name="ADR ($)"/>
    <x:tableColumn id="6" name="Occupancy"/>
    <x:tableColumn id="7" name="Annual revenue ($)"/>
    <x:tableColumn id="8" name="Vendor RevPAR / RevPAN ($)"/>
    <x:tableColumn id="9" name="Active listings"/>
    <x:tableColumn id="10" name="Observation period"/>
    <x:tableColumn id="11" name="Provider"/>
    <x:tableColumn id="12" name="Data-quality flag"/>
    <x:tableColumn id="13" name="Regulatory scree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earchThesesTable" displayName="ResearchThesesTable" ref="A6:J106" headerRowCount="1" totalsRowCount="0" totalsRowShown="0">
  <x:tableColumns count="10">
    <x:tableColumn id="1" name="ID"/>
    <x:tableColumn id="2" name="Market"/>
    <x:tableColumn id="3" name="Seasonality (est.)"/>
    <x:tableColumn id="4" name="Demand drivers to validate"/>
    <x:tableColumn id="5" name="Likely guest niche"/>
    <x:tableColumn id="6" name="Model to research"/>
    <x:tableColumn id="7" name="Opportunity lens"/>
    <x:tableColumn id="8" name="Why research this market"/>
    <x:tableColumn id="9" name="Risks to investigate"/>
    <x:tableColumn id="10" name="Access research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stBenchmarksTable" displayName="CostBenchmarksTable" ref="A6:K106" headerRowCount="1" totalsRowCount="0" totalsRowShown="0">
  <x:tableColumns count="11">
    <x:tableColumn id="1" name="ID"/>
    <x:tableColumn id="2" name="Market"/>
    <x:tableColumn id="3" name="Typical home value ($)"/>
    <x:tableColumn id="4" name="Home value date"/>
    <x:tableColumn id="5" name="Home value basis"/>
    <x:tableColumn id="6" name="Price tier"/>
    <x:tableColumn id="7" name="Monthly rent benchmark ($)"/>
    <x:tableColumn id="8" name="Rent date"/>
    <x:tableColumn id="9" name="Rent measure"/>
    <x:tableColumn id="10" name="Home source URL"/>
    <x:tableColumn id="11" name="Rent source 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gulationTable" displayName="RegulationTable" ref="A6:H106" headerRowCount="1" totalsRowCount="0" totalsRowShown="0">
  <x:tableColumns count="8">
    <x:tableColumn id="1" name="ID"/>
    <x:tableColumn id="2" name="Market"/>
    <x:tableColumn id="3" name="Screening status"/>
    <x:tableColumn id="4" name="Reviewed official-source findings"/>
    <x:tableColumn id="5" name="Unresolved address-level question"/>
    <x:tableColumn id="6" name="Scope / jurisdiction"/>
    <x:tableColumn id="7" name="Review date"/>
    <x:tableColumn id="8" name="Official source 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RegisterTable" displayName="SourceRegisterTable" ref="A6:J106" headerRowCount="1" totalsRowCount="0" totalsRowShown="0">
  <x:tableColumns count="10">
    <x:tableColumn id="1" name="ID"/>
    <x:tableColumn id="2" name="Market"/>
    <x:tableColumn id="3" name="STR source URL"/>
    <x:tableColumn id="4" name="Provider update / snapshot"/>
    <x:tableColumn id="5" name="Revenue definition"/>
    <x:tableColumn id="6" name="Additional source / quality notes"/>
    <x:tableColumn id="7" name="Reported supply YoY"/>
    <x:tableColumn id="8" name="ADR × occupancy proxy ($)"/>
    <x:tableColumn id="9" name="Projection only ($/year)"/>
    <x:tableColumn id="10" name="Rejected / comparison source 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yShortlistTable" displayName="MyShortlistTable" ref="A6:I16" headerRowCount="1" totalsRowCount="0" totalsRowShown="0">
  <x:tableColumns count="9">
    <x:tableColumn id="1" name="Priority"/>
    <x:tableColumn id="2" name="Market / ID"/>
    <x:tableColumn id="3" name="Property address"/>
    <x:tableColumn id="4" name="Model"/>
    <x:tableColumn id="5" name="Jurisdiction verified?"/>
    <x:tableColumn id="6" name="Revenue comp evidence"/>
    <x:tableColumn id="7" name="Insurance / cost quotes"/>
    <x:tableColumn id="8" name="Next action"/>
    <x:tableColumn id="9" name="Owner / deadlin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E7" dT="2026-09-21T11:20:36.697" personId="{E24A061B-0655-4EC5-990A-233194B53C1F}" id="{9CF12B36-9778-0C75-A1D5-11F356C36494}">
    <xltc:text>Source: https://www.airdna.co/vacation-rental-data/app/us/tennessee/sevierville/overview
Basis/date: 2026-07
Retrieved/reviewed September 21, 2026. Not a property-level quote.</xltc:text>
  </xltc:threadedComment>
  <xltc:threadedComment ref="G7" dT="2026-09-21T11:20:36.697" personId="{E24A061B-0655-4EC5-990A-233194B53C1F}" id="{93360AFB-F9EA-374D-5263-55193001FAD4}">
    <xltc:text>Source: https://www.airdna.co/vacation-rental-data/app/us/tennessee/sevierville/overview
Basis/date: Trailing 12 months; market-wide active listings
Retrieved/reviewed September 21, 2026. Not a property-level quote.</xltc:text>
  </xltc:threadedComment>
  <xltc:threadedComment ref="E8" dT="2026-09-21T11:20:36.698" personId="{E24A061B-0655-4EC5-990A-233194B53C1F}" id="{30717EC1-A5EF-893C-0D9F-9721B332026D}">
    <xltc:text>Source: https://www.airdna.co/vacation-rental-data/app/us/tennessee/gatlinburg/overview
Basis/date: 2026-08
Retrieved/reviewed September 21, 2026. Not a property-level quote.</xltc:text>
  </xltc:threadedComment>
  <xltc:threadedComment ref="G8" dT="2026-09-21T11:20:36.698" personId="{E24A061B-0655-4EC5-990A-233194B53C1F}" id="{4A0CDB32-3FEB-E368-A277-1426066FE702}">
    <xltc:text>Source: https://www.airdna.co/vacation-rental-data/app/us/tennessee/gatlinburg/overview
Basis/date: Trailing 12 months; market-wide active listings
Retrieved/reviewed September 21, 2026. Not a property-level quote.</xltc:text>
  </xltc:threadedComment>
  <xltc:threadedComment ref="E9" dT="2026-09-21T11:20:36.698" personId="{E24A061B-0655-4EC5-990A-233194B53C1F}" id="{422B2EB1-2DC6-291B-4007-FDBF2F12C57F}">
    <xltc:text>Source: https://www.airdna.co/vacation-rental-data/app/us/tennessee/pigeon-forge/overview
Basis/date: 2026-07
Retrieved/reviewed September 21, 2026. Not a property-level quote.</xltc:text>
  </xltc:threadedComment>
  <xltc:threadedComment ref="G9" dT="2026-09-21T11:20:36.698" personId="{E24A061B-0655-4EC5-990A-233194B53C1F}" id="{E3CC93BB-9A13-5400-02FD-F953EA316E92}">
    <xltc:text>Source: https://www.airdna.co/vacation-rental-data/app/us/tennessee/pigeon-forge/overview
Basis/date: Trailing 12 months; market-wide active listings
Retrieved/reviewed September 21, 2026. Not a property-level quote.</xltc:text>
  </xltc:threadedComment>
  <xltc:threadedComment ref="E10" dT="2026-09-21T11:20:36.698" personId="{E24A061B-0655-4EC5-990A-233194B53C1F}" id="{1812FA33-9966-3EFC-2D37-5F839033A928}">
    <xltc:text>Source: https://www.airdna.co/vacation-rental-data/app/us/georgia/blue-ridge/overview
Basis/date: 2026-08
Retrieved/reviewed September 21, 2026. Not a property-level quote.</xltc:text>
  </xltc:threadedComment>
  <xltc:threadedComment ref="G10" dT="2026-09-21T11:20:36.698" personId="{E24A061B-0655-4EC5-990A-233194B53C1F}" id="{209F2B3C-4DD1-6435-0486-907B6BB4A322}">
    <xltc:text>Source: https://www.airdna.co/vacation-rental-data/app/us/georgia/blue-ridge/overview
Basis/date: Trailing 12 months; market-wide active listings
Retrieved/reviewed September 21, 2026. Not a property-level quote.</xltc:text>
  </xltc:threadedComment>
  <xltc:threadedComment ref="E11" dT="2026-09-21T11:20:36.698" personId="{E24A061B-0655-4EC5-990A-233194B53C1F}" id="{05260071-2B99-482C-4D9D-D0F2B791EA7C}">
    <xltc:text>Source: https://www.airdna.co/vacation-rental-data/app/us/georgia/ellijay/overview
Basis/date: 2026-08
Retrieved/reviewed September 21, 2026. Not a property-level quote.</xltc:text>
  </xltc:threadedComment>
  <xltc:threadedComment ref="G11" dT="2026-09-21T11:20:36.698" personId="{E24A061B-0655-4EC5-990A-233194B53C1F}" id="{4CA84984-7AA0-7DAA-F630-C795C8CF9313}">
    <xltc:text>Source: https://www.airdna.co/vacation-rental-data/app/us/georgia/ellijay/overview
Basis/date: Trailing 12 months; market-wide active listings
Retrieved/reviewed September 21, 2026. Not a property-level quote.</xltc:text>
  </xltc:threadedComment>
  <xltc:threadedComment ref="E12" dT="2026-09-21T11:20:36.698" personId="{E24A061B-0655-4EC5-990A-233194B53C1F}" id="{1C3DBED8-1016-5701-D1B5-B72A8C84F92F}">
    <xltc:text>Source: https://www.airdna.co/vacation-rental-data/app/us/oklahoma/broken-bow/overview
Basis/date: 2026-07
Retrieved/reviewed September 21, 2026. Not a property-level quote.</xltc:text>
  </xltc:threadedComment>
  <xltc:threadedComment ref="G12" dT="2026-09-21T11:20:36.698" personId="{E24A061B-0655-4EC5-990A-233194B53C1F}" id="{EB2704C3-F508-ABEF-04E5-66FD64CE8C86}">
    <xltc:text>Source: https://www.airdna.co/vacation-rental-data/app/us/oklahoma/broken-bow/overview
Basis/date: Trailing 12 months; market-wide active listings
Retrieved/reviewed September 21, 2026. Not a property-level quote.</xltc:text>
  </xltc:threadedComment>
  <xltc:threadedComment ref="E13" dT="2026-09-21T11:20:36.698" personId="{E24A061B-0655-4EC5-990A-233194B53C1F}" id="{2EF1EF5C-AD2D-53B4-1910-F1486BCF7C22}">
    <xltc:text>Source: https://www.airdna.co/vacation-rental-data/app/us/missouri/branson/overview
Basis/date: 2026-07
Retrieved/reviewed September 21, 2026. Not a property-level quote.</xltc:text>
  </xltc:threadedComment>
  <xltc:threadedComment ref="G13" dT="2026-09-21T11:20:36.698" personId="{E24A061B-0655-4EC5-990A-233194B53C1F}" id="{A3D87F33-B9E9-44DB-7C1D-0DFD1A306073}">
    <xltc:text>Source: https://www.airdna.co/vacation-rental-data/app/us/missouri/branson/overview
Basis/date: Trailing 12 months; market-wide active listings
Retrieved/reviewed September 21, 2026. Not a property-level quote.</xltc:text>
  </xltc:threadedComment>
  <xltc:threadedComment ref="E14" dT="2026-09-21T11:20:36.698" personId="{E24A061B-0655-4EC5-990A-233194B53C1F}" id="{6F27C89A-CB20-2D94-0690-595AA1F9048A}">
    <xltc:text>Source: https://rabbu.com/airbnb-data/hot-springs-national-park-ar
Basis/date: 12-month average; as of 2026-04-27
Retrieved/reviewed September 21, 2026. Not a property-level quote.</xltc:text>
  </xltc:threadedComment>
  <xltc:threadedComment ref="G14" dT="2026-09-21T11:20:36.698" personId="{E24A061B-0655-4EC5-990A-233194B53C1F}" id="{E2B2E3CF-08AD-5DB5-AE99-2FDAE05F6FB4}">
    <xltc:text>Source: https://rabbu.com/airbnb-data/hot-springs-national-park-ar
Basis/date: Rabbu historical 12-month average; snapshot ADR/occupancy
Retrieved/reviewed September 21, 2026. Not a property-level quote.</xltc:text>
  </xltc:threadedComment>
  <xltc:threadedComment ref="E15" dT="2026-09-21T11:20:36.698" personId="{E24A061B-0655-4EC5-990A-233194B53C1F}" id="{E8B4C388-A872-2B0D-9A5E-3358E78694E8}">
    <xltc:text>Source: https://www.airdna.co/vacation-rental-data/app/us/alabama/gulf-shores/overview
Basis/date: 2026-07
Retrieved/reviewed September 21, 2026. Not a property-level quote.</xltc:text>
  </xltc:threadedComment>
  <xltc:threadedComment ref="G15" dT="2026-09-21T11:20:36.698" personId="{E24A061B-0655-4EC5-990A-233194B53C1F}" id="{EBEAC976-15EB-8CAE-8165-F7FD95804F2B}">
    <xltc:text>Source: https://www.airdna.co/vacation-rental-data/app/us/alabama/gulf-shores/overview
Basis/date: Trailing 12 months; market-wide active listings
Retrieved/reviewed September 21, 2026. Not a property-level quote.</xltc:text>
  </xltc:threadedComment>
  <xltc:threadedComment ref="E16" dT="2026-09-21T11:20:36.698" personId="{E24A061B-0655-4EC5-990A-233194B53C1F}" id="{73138649-B920-8B31-4FB4-9E483D6D0F9A}">
    <xltc:text>Source: https://www.airdna.co/vacation-rental-data/app/us/alabama/orange-beach/overview
Basis/date: 2026-08
Retrieved/reviewed September 21, 2026. Not a property-level quote.</xltc:text>
  </xltc:threadedComment>
  <xltc:threadedComment ref="G16" dT="2026-09-21T11:20:36.698" personId="{E24A061B-0655-4EC5-990A-233194B53C1F}" id="{8BD6AF02-B8AC-FD3A-417E-154268FAAAEA}">
    <xltc:text>Source: https://www.airdna.co/vacation-rental-data/app/us/alabama/orange-beach/overview
Basis/date: Trailing 12 months; market-wide active listings
Retrieved/reviewed September 21, 2026. Not a property-level quote.</xltc:text>
  </xltc:threadedComment>
  <xltc:threadedComment ref="E17" dT="2026-09-21T11:20:36.698" personId="{E24A061B-0655-4EC5-990A-233194B53C1F}" id="{FB63F7F4-AADC-1B46-2C05-8F933F304A71}">
    <xltc:text>Source: https://rabbu.com/airbnb-data/panama-city-beach-fl
Basis/date: 12-month average; as of 2026-04-27
Retrieved/reviewed September 21, 2026. Not a property-level quote.</xltc:text>
  </xltc:threadedComment>
  <xltc:threadedComment ref="G17" dT="2026-09-21T11:20:36.698" personId="{E24A061B-0655-4EC5-990A-233194B53C1F}" id="{02FC6724-307B-F72A-5BC6-04EBEDAA10B9}">
    <xltc:text>Source: https://rabbu.com/airbnb-data/panama-city-beach-fl
Basis/date: Rabbu historical 12-month average; ADR/occupancy snapshot may differ
Retrieved/reviewed September 21, 2026. Not a property-level quote.</xltc:text>
  </xltc:threadedComment>
  <xltc:threadedComment ref="E18" dT="2026-09-21T11:20:36.698" personId="{E24A061B-0655-4EC5-990A-233194B53C1F}" id="{20EC0B6F-4A14-E294-CB00-D632EFCC46D1}">
    <xltc:text>Source: https://www.airdna.co/vacation-rental-data/app/us/florida/destin/overview
Basis/date: 2026-07
Retrieved/reviewed September 21, 2026. Not a property-level quote.</xltc:text>
  </xltc:threadedComment>
  <xltc:threadedComment ref="G18" dT="2026-09-21T11:20:36.698" personId="{E24A061B-0655-4EC5-990A-233194B53C1F}" id="{25227B4D-8013-CCB2-9404-2FE56DD13229}">
    <xltc:text>Source: https://www.airdna.co/vacation-rental-data/app/us/florida/destin/overview
Basis/date: Trailing 12 months; market-wide active listings
Retrieved/reviewed September 21, 2026. Not a property-level quote.</xltc:text>
  </xltc:threadedComment>
  <xltc:threadedComment ref="E19" dT="2026-09-21T11:20:36.698" personId="{E24A061B-0655-4EC5-990A-233194B53C1F}" id="{AD2FD93F-6231-F1CD-1DAC-D74069353BAC}">
    <xltc:text>Source: https://www.airdna.co/vacation-rental-data/app/us/florida/fort-walton-beach/overview
Basis/date: 2026-06
Retrieved/reviewed September 21, 2026. Not a property-level quote.</xltc:text>
  </xltc:threadedComment>
  <xltc:threadedComment ref="G19" dT="2026-09-21T11:20:36.698" personId="{E24A061B-0655-4EC5-990A-233194B53C1F}" id="{2F318904-C975-9C2D-0838-253698F13101}">
    <xltc:text>Source: https://www.airdna.co/vacation-rental-data/app/us/florida/fort-walton-beach/overview
Basis/date: Trailing 12 months; market-wide active listings
Retrieved/reviewed September 21, 2026. Not a property-level quote.</xltc:text>
  </xltc:threadedComment>
  <xltc:threadedComment ref="E20" dT="2026-09-21T11:20:36.698" personId="{E24A061B-0655-4EC5-990A-233194B53C1F}" id="{55FA6E9B-057C-D4CC-B3AB-282CCB057721}">
    <xltc:text>Source: https://www.airdna.co/vacation-rental-data/app/us/florida/pensacola/overview
Basis/date: 2026-08
Retrieved/reviewed September 21, 2026. Not a property-level quote.</xltc:text>
  </xltc:threadedComment>
  <xltc:threadedComment ref="G20" dT="2026-09-21T11:20:36.698" personId="{E24A061B-0655-4EC5-990A-233194B53C1F}" id="{EE77EB8C-4240-6024-0074-DF833D634C14}">
    <xltc:text>Source: https://www.airdna.co/vacation-rental-data/app/us/florida/pensacola/overview
Basis/date: Trailing 12 months; market-wide active listings
Retrieved/reviewed September 21, 2026. Not a property-level quote.</xltc:text>
  </xltc:threadedComment>
  <xltc:threadedComment ref="E21" dT="2026-09-21T11:20:36.698" personId="{E24A061B-0655-4EC5-990A-233194B53C1F}" id="{6FF48127-C68A-E11D-A549-A2FE7A1D429F}">
    <xltc:text>Source: https://rabbu.com/airbnb-data/kissimmee-fl
Basis/date: Snapshot Apr 27, 2026; annual revenue historical 12-month average
Retrieved/reviewed September 21, 2026. Not a property-level quote.</xltc:text>
  </xltc:threadedComment>
  <xltc:threadedComment ref="G21" dT="2026-09-21T11:20:36.698" personId="{E24A061B-0655-4EC5-990A-233194B53C1F}" id="{7724FE9F-8C35-5D56-BB2D-2D3886C96A48}">
    <xltc:text>Source: https://rabbu.com/airbnb-data/kissimmee-fl
Basis/date: Historical 12-month average (Rabbu)
Retrieved/reviewed September 21, 2026. Not a property-level quote.</xltc:text>
  </xltc:threadedComment>
  <xltc:threadedComment ref="E22" dT="2026-09-21T11:20:36.698" personId="{E24A061B-0655-4EC5-990A-233194B53C1F}" id="{EE6B7CFF-FD9C-2988-DC2D-97FF5DFE1504}">
    <xltc:text>Source: https://rabbu.com/airbnb-data/davenport-fl
Basis/date: Snapshot Apr 27, 2026; annual revenue historical 12-month average
Retrieved/reviewed September 21, 2026. Not a property-level quote.</xltc:text>
  </xltc:threadedComment>
  <xltc:threadedComment ref="G22" dT="2026-09-21T11:20:36.698" personId="{E24A061B-0655-4EC5-990A-233194B53C1F}" id="{F83F16F1-17CD-7D0D-D6D4-EF543C9A8750}">
    <xltc:text>Source: https://rabbu.com/airbnb-data/davenport-fl
Basis/date: Historical 12-month average (Rabbu)
Retrieved/reviewed September 21, 2026. Not a property-level quote.</xltc:text>
  </xltc:threadedComment>
  <xltc:threadedComment ref="E23" dT="2026-09-21T11:20:36.698" personId="{E24A061B-0655-4EC5-990A-233194B53C1F}" id="{EEB40DBC-3C4E-B453-3700-D2B4C67922C2}">
    <xltc:text>Source: https://www.airdna.co/vacation-rental-data/app/us/florida/saint-augustine/overview
Basis/date: 2026-06
Retrieved/reviewed September 21, 2026. Not a property-level quote.</xltc:text>
  </xltc:threadedComment>
  <xltc:threadedComment ref="G23" dT="2026-09-21T11:20:36.698" personId="{E24A061B-0655-4EC5-990A-233194B53C1F}" id="{A1CEC32C-10C4-5178-9BDF-0C233255DE66}">
    <xltc:text>Source: https://www.airdna.co/vacation-rental-data/app/us/florida/saint-augustine/overview
Basis/date: Trailing 12 months; market-wide active listings
Retrieved/reviewed September 21, 2026. Not a property-level quote.</xltc:text>
  </xltc:threadedComment>
  <xltc:threadedComment ref="E24" dT="2026-09-21T11:20:36.698" personId="{E24A061B-0655-4EC5-990A-233194B53C1F}" id="{DD876179-F2A7-CF4D-8DB0-D000EB9F8FB8}">
    <xltc:text>Source: https://www.airdna.co/vacation-rental-data/app/us/florida/crystal-river/overview
Basis/date: 2026-07
Retrieved/reviewed September 21, 2026. Not a property-level quote.</xltc:text>
  </xltc:threadedComment>
  <xltc:threadedComment ref="G24" dT="2026-09-21T11:20:36.698" personId="{E24A061B-0655-4EC5-990A-233194B53C1F}" id="{7C558BD8-83CD-09B7-B5F6-08DB6DD9FCCB}">
    <xltc:text>Source: https://www.airdna.co/vacation-rental-data/app/us/florida/crystal-river/overview
Basis/date: Trailing 12 months; market-wide active listings
Retrieved/reviewed September 21, 2026. Not a property-level quote.</xltc:text>
  </xltc:threadedComment>
  <xltc:threadedComment ref="E25" dT="2026-09-21T11:20:36.698" personId="{E24A061B-0655-4EC5-990A-233194B53C1F}" id="{CDC2B60F-A92A-4C97-FD80-41D2D8861C4E}">
    <xltc:text>Source: https://www.airdna.co/vacation-rental-data/app/us/florida/cape-coral/overview
Basis/date: 2026-07
Retrieved/reviewed September 21, 2026. Not a property-level quote.</xltc:text>
  </xltc:threadedComment>
  <xltc:threadedComment ref="G25" dT="2026-09-21T11:20:36.698" personId="{E24A061B-0655-4EC5-990A-233194B53C1F}" id="{7E5C9EB2-FD25-8194-4264-FA0CFEC369A0}">
    <xltc:text>Source: https://www.airdna.co/vacation-rental-data/app/us/florida/cape-coral/overview
Basis/date: Trailing 12 months; market-wide active listings
Retrieved/reviewed September 21, 2026. Not a property-level quote.</xltc:text>
  </xltc:threadedComment>
  <xltc:threadedComment ref="E26" dT="2026-09-21T11:20:36.698" personId="{E24A061B-0655-4EC5-990A-233194B53C1F}" id="{8CE42391-33CE-2606-5EF0-A138EF5F3DF9}">
    <xltc:text>Source: https://www.airdna.co/vacation-rental-data/app/us/florida/fort-lauderdale/overview
Basis/date: 2026-07
Retrieved/reviewed September 21, 2026. Not a property-level quote.</xltc:text>
  </xltc:threadedComment>
  <xltc:threadedComment ref="G26" dT="2026-09-21T11:20:36.698" personId="{E24A061B-0655-4EC5-990A-233194B53C1F}" id="{3FBBA1E9-8569-C63C-8743-8BC9268C8D3F}">
    <xltc:text>Source: https://www.airdna.co/vacation-rental-data/app/us/florida/fort-lauderdale/overview
Basis/date: Trailing 12 months; market-wide active listings
Retrieved/reviewed September 21, 2026. Not a property-level quote.</xltc:text>
  </xltc:threadedComment>
  <xltc:threadedComment ref="E27" dT="2026-09-21T11:20:36.698" personId="{E24A061B-0655-4EC5-990A-233194B53C1F}" id="{E23ADF19-2088-C351-E40A-42A3C1573A7B}">
    <xltc:text>Source: https://www.airdna.co/vacation-rental-data/app/us/south-carolina/myrtle-beach/overview
Basis/date: 2026-08
Retrieved/reviewed September 21, 2026. Not a property-level quote.</xltc:text>
  </xltc:threadedComment>
  <xltc:threadedComment ref="G27" dT="2026-09-21T11:20:36.698" personId="{E24A061B-0655-4EC5-990A-233194B53C1F}" id="{A5220E8A-0DED-CCBD-4D79-76D6F1DC57D3}">
    <xltc:text>Source: https://www.airdna.co/vacation-rental-data/app/us/south-carolina/myrtle-beach/overview
Basis/date: Trailing 12 months; market-wide active listings
Retrieved/reviewed September 21, 2026. Not a property-level quote.</xltc:text>
  </xltc:threadedComment>
  <xltc:threadedComment ref="E28" dT="2026-09-21T11:20:36.698" personId="{E24A061B-0655-4EC5-990A-233194B53C1F}" id="{C1C98840-FD28-BFCC-B90C-D8A4D648217B}">
    <xltc:text>Source: https://www.airdna.co/vacation-rental-data/app/us/south-carolina/north-myrtle-beach/overview
Basis/date: 2026-06
Retrieved/reviewed September 21, 2026. Not a property-level quote.</xltc:text>
  </xltc:threadedComment>
  <xltc:threadedComment ref="G28" dT="2026-09-21T11:20:36.698" personId="{E24A061B-0655-4EC5-990A-233194B53C1F}" id="{DF2B0D91-56A1-4986-749E-56C37499C670}">
    <xltc:text>Source: https://www.airdna.co/vacation-rental-data/app/us/south-carolina/north-myrtle-beach/overview
Basis/date: Trailing 12 months; market-wide active listings
Retrieved/reviewed September 21, 2026. Not a property-level quote.</xltc:text>
  </xltc:threadedComment>
  <xltc:threadedComment ref="E29" dT="2026-09-21T11:20:36.698" personId="{E24A061B-0655-4EC5-990A-233194B53C1F}" id="{E35597B1-1613-E71D-EAAE-EEC0C393579B}">
    <xltc:text>Source: https://www.airdna.co/vacation-rental-data/app/us/south-carolina/hilton-head-island/overview
Basis/date: 2026-08
Retrieved/reviewed September 21, 2026. Not a property-level quote.</xltc:text>
  </xltc:threadedComment>
  <xltc:threadedComment ref="G29" dT="2026-09-21T11:20:36.698" personId="{E24A061B-0655-4EC5-990A-233194B53C1F}" id="{D19F889B-D4BA-63CE-DEA9-32ADD54D1702}">
    <xltc:text>Source: https://www.airdna.co/vacation-rental-data/app/us/south-carolina/hilton-head-island/overview
Basis/date: Trailing 12 months; market-wide active listings
Retrieved/reviewed September 21, 2026. Not a property-level quote.</xltc:text>
  </xltc:threadedComment>
  <xltc:threadedComment ref="E30" dT="2026-09-21T11:20:36.698" personId="{E24A061B-0655-4EC5-990A-233194B53C1F}" id="{3EF93E7E-06E4-2F55-2D7C-4B9ECC95EAF1}">
    <xltc:text>Source: https://www.airdna.co/vacation-rental-data/app/us/south-carolina/charleston/overview
Basis/date: 2026-08
Retrieved/reviewed September 21, 2026. Not a property-level quote.</xltc:text>
  </xltc:threadedComment>
  <xltc:threadedComment ref="G30" dT="2026-09-21T11:20:36.698" personId="{E24A061B-0655-4EC5-990A-233194B53C1F}" id="{DF7D3AEA-ED0B-E4D4-D246-0C01B1356269}">
    <xltc:text>Source: https://www.airdna.co/vacation-rental-data/app/us/south-carolina/charleston/overview
Basis/date: Trailing 12 months; market-wide active listings
Retrieved/reviewed September 21, 2026. Not a property-level quote.</xltc:text>
  </xltc:threadedComment>
  <xltc:threadedComment ref="E31" dT="2026-09-21T11:20:36.698" personId="{E24A061B-0655-4EC5-990A-233194B53C1F}" id="{FC1173AF-C55E-3A3D-50A4-96B548930E1B}">
    <xltc:text>Source: https://rabbu.com/airbnb-data/wilmington-nc
Basis/date: Snapshot Mar 15, 2026; revenue is seasonalized projection
Retrieved/reviewed September 21, 2026. Not a property-level quote.</xltc:text>
  </xltc:threadedComment>
  <xltc:threadedComment ref="G31" dT="2026-09-21T11:20:36.698" personId="{E24A061B-0655-4EC5-990A-233194B53C1F}" id="{F7A8B9F9-4B73-5A4C-37F0-D299F914F1A7}">
    <xltc:text>Source: https://rabbu.com/airbnb-data/wilmington-nc
Basis/date: Projection only; NOT historical annual revenue
Retrieved/reviewed September 21, 2026. Not a property-level quote.</xltc:text>
  </xltc:threadedComment>
  <xltc:threadedComment ref="E32" dT="2026-09-21T11:20:36.698" personId="{E24A061B-0655-4EC5-990A-233194B53C1F}" id="{436BB55F-0A6E-153E-85F5-91323634ED2B}">
    <xltc:text>Source: https://www.airdna.co/vacation-rental-data/app/us/north-carolina/carolina-beach/overview
Basis/date: 2026-08
Retrieved/reviewed September 21, 2026. Not a property-level quote.</xltc:text>
  </xltc:threadedComment>
  <xltc:threadedComment ref="G32" dT="2026-09-21T11:20:36.698" personId="{E24A061B-0655-4EC5-990A-233194B53C1F}" id="{B158AB6F-9FAD-8B6A-8DD1-804C9F9F3F5C}">
    <xltc:text>Source: https://www.airdna.co/vacation-rental-data/app/us/north-carolina/carolina-beach/overview
Basis/date: Trailing 12 months; market-wide active listings
Retrieved/reviewed September 21, 2026. Not a property-level quote.</xltc:text>
  </xltc:threadedComment>
  <xltc:threadedComment ref="E33" dT="2026-09-21T11:20:36.698" personId="{E24A061B-0655-4EC5-990A-233194B53C1F}" id="{F0775C7F-5933-A7E3-EB78-750B3D9ECA5A}">
    <xltc:text>Source: https://www.airdna.co/vacation-rental-data/app/us/north-carolina/oak-island/overview
Basis/date: Not disclosed
Retrieved/reviewed September 21, 2026. Not a property-level quote.</xltc:text>
  </xltc:threadedComment>
  <xltc:threadedComment ref="G33" dT="2026-09-21T11:20:36.698" personId="{E24A061B-0655-4EC5-990A-233194B53C1F}" id="{6336F28B-E73E-3571-9300-059A5A7AB654}">
    <xltc:text>Source: https://www.airdna.co/vacation-rental-data/app/us/north-carolina/oak-island/overview
Basis/date: Trailing 12 months; market-wide active listings
Retrieved/reviewed September 21, 2026. Not a property-level quote.</xltc:text>
  </xltc:threadedComment>
  <xltc:threadedComment ref="E34" dT="2026-09-21T11:20:36.698" personId="{E24A061B-0655-4EC5-990A-233194B53C1F}" id="{E62ACF5A-0235-B499-2770-C004DC92049D}">
    <xltc:text>Source: https://www.airdna.co/vacation-rental-data/app/us/north-carolina/nags-head/overview
Basis/date: 2026-07
Retrieved/reviewed September 21, 2026. Not a property-level quote.</xltc:text>
  </xltc:threadedComment>
  <xltc:threadedComment ref="G34" dT="2026-09-21T11:20:36.698" personId="{E24A061B-0655-4EC5-990A-233194B53C1F}" id="{3D956034-9778-7410-4AEF-1699E358A950}">
    <xltc:text>Source: https://www.airdna.co/vacation-rental-data/app/us/north-carolina/nags-head/overview
Basis/date: Trailing 12 months; market-wide active listings
Retrieved/reviewed September 21, 2026. Not a property-level quote.</xltc:text>
  </xltc:threadedComment>
  <xltc:threadedComment ref="E35" dT="2026-09-21T11:20:36.698" personId="{E24A061B-0655-4EC5-990A-233194B53C1F}" id="{4AEA8E10-56A3-EDBB-DAE7-CCBE83E9E6CB}">
    <xltc:text>Source: https://www.airdna.co/vacation-rental-data/app/us/north-carolina/kill-devil-hills/overview
Basis/date: 2026-07
Retrieved/reviewed September 21, 2026. Not a property-level quote.</xltc:text>
  </xltc:threadedComment>
  <xltc:threadedComment ref="G35" dT="2026-09-21T11:20:36.698" personId="{E24A061B-0655-4EC5-990A-233194B53C1F}" id="{781A13C2-CF43-0B67-69F8-FC6ABA4E16B3}">
    <xltc:text>Source: https://www.airdna.co/vacation-rental-data/app/us/north-carolina/kill-devil-hills/overview
Basis/date: Trailing 12 months; market-wide active listings
Retrieved/reviewed September 21, 2026. Not a property-level quote.</xltc:text>
  </xltc:threadedComment>
  <xltc:threadedComment ref="E36" dT="2026-09-21T11:20:36.698" personId="{E24A061B-0655-4EC5-990A-233194B53C1F}" id="{26F404CE-72F4-4559-E65A-B203ABFBD42E}">
    <xltc:text>Source: https://www.airdna.co/vacation-rental-data/app/us/north-carolina/corolla/overview
Basis/date: 2026-07
Retrieved/reviewed September 21, 2026. Not a property-level quote.</xltc:text>
  </xltc:threadedComment>
  <xltc:threadedComment ref="G36" dT="2026-09-21T11:20:36.698" personId="{E24A061B-0655-4EC5-990A-233194B53C1F}" id="{A11C44D0-12C2-68D1-03EF-D8E9305B39B8}">
    <xltc:text>Source: https://www.airdna.co/vacation-rental-data/app/us/north-carolina/corolla/overview
Basis/date: Trailing 12 months; market-wide active listings
Retrieved/reviewed September 21, 2026. Not a property-level quote.</xltc:text>
  </xltc:threadedComment>
  <xltc:threadedComment ref="E37" dT="2026-09-21T11:20:36.698" personId="{E24A061B-0655-4EC5-990A-233194B53C1F}" id="{47386A81-3261-1DBF-1FE8-D72B6CF7A38B}">
    <xltc:text>Source: https://www.airdna.co/vacation-rental-data/app/us/north-carolina/boone/overview
Basis/date: 2026-07
Retrieved/reviewed September 21, 2026. Not a property-level quote.</xltc:text>
  </xltc:threadedComment>
  <xltc:threadedComment ref="G37" dT="2026-09-21T11:20:36.698" personId="{E24A061B-0655-4EC5-990A-233194B53C1F}" id="{E6028F72-6A8A-1516-365A-15163F9544AB}">
    <xltc:text>Source: https://www.airdna.co/vacation-rental-data/app/us/north-carolina/boone/overview
Basis/date: Trailing 12 months; market-wide active listings
Retrieved/reviewed September 21, 2026. Not a property-level quote.</xltc:text>
  </xltc:threadedComment>
  <xltc:threadedComment ref="E38" dT="2026-09-21T11:20:36.698" personId="{E24A061B-0655-4EC5-990A-233194B53C1F}" id="{5099B1D7-B30A-A59D-5386-79CAD9C01864}">
    <xltc:text>Source: https://www.airdna.co/vacation-rental-data/app/us/north-carolina/banner-elk/overview
Basis/date: 2026-07
Retrieved/reviewed September 21, 2026. Not a property-level quote.</xltc:text>
  </xltc:threadedComment>
  <xltc:threadedComment ref="G38" dT="2026-09-21T11:20:36.698" personId="{E24A061B-0655-4EC5-990A-233194B53C1F}" id="{528EA1C8-7882-4150-E4B8-64343CD6BE7A}">
    <xltc:text>Source: https://www.airdna.co/vacation-rental-data/app/us/north-carolina/banner-elk/overview
Basis/date: Trailing 12 months; market-wide active listings
Retrieved/reviewed September 21, 2026. Not a property-level quote.</xltc:text>
  </xltc:threadedComment>
  <xltc:threadedComment ref="E39" dT="2026-09-21T11:20:36.698" personId="{E24A061B-0655-4EC5-990A-233194B53C1F}" id="{59CD8C4F-D704-81E3-EE92-F3280933FF7C}">
    <xltc:text>Source: https://www.airdna.co/vacation-rental-data/app/us/north-carolina/bryson-city/overview
Basis/date: 2026-07
Retrieved/reviewed September 21, 2026. Not a property-level quote.</xltc:text>
  </xltc:threadedComment>
  <xltc:threadedComment ref="G39" dT="2026-09-21T11:20:36.698" personId="{E24A061B-0655-4EC5-990A-233194B53C1F}" id="{FDCFD5A2-8DB5-DB45-6F98-9CAB90EFA64E}">
    <xltc:text>Source: https://www.airdna.co/vacation-rental-data/app/us/north-carolina/bryson-city/overview
Basis/date: Trailing 12 months; market-wide active listings
Retrieved/reviewed September 21, 2026. Not a property-level quote.</xltc:text>
  </xltc:threadedComment>
  <xltc:threadedComment ref="E40" dT="2026-09-21T11:20:36.698" personId="{E24A061B-0655-4EC5-990A-233194B53C1F}" id="{3DB99A90-1BB5-DFB3-16E1-AC378C101689}">
    <xltc:text>Source: https://www.airdna.co/vacation-rental-data/app/us/north-carolina/asheville/overview
Basis/date: 2026-07
Retrieved/reviewed September 21, 2026. Not a property-level quote.</xltc:text>
  </xltc:threadedComment>
  <xltc:threadedComment ref="G40" dT="2026-09-21T11:20:36.698" personId="{E24A061B-0655-4EC5-990A-233194B53C1F}" id="{C5052F61-9D38-5CC0-53F0-CDA981639B57}">
    <xltc:text>Source: https://www.airdna.co/vacation-rental-data/app/us/north-carolina/asheville/overview
Basis/date: Trailing 12 months; market-wide active listings
Retrieved/reviewed September 21, 2026. Not a property-level quote.</xltc:text>
  </xltc:threadedComment>
  <xltc:threadedComment ref="E41" dT="2026-09-21T11:20:36.698" personId="{E24A061B-0655-4EC5-990A-233194B53C1F}" id="{45411404-2E30-B74C-2550-70D942EF1D63}">
    <xltc:text>Source: https://www.airdna.co/vacation-rental-data/app/us/virginia/luray/overview
Basis/date: Not disclosed
Retrieved/reviewed September 21, 2026. Not a property-level quote.</xltc:text>
  </xltc:threadedComment>
  <xltc:threadedComment ref="G41" dT="2026-09-21T11:20:36.698" personId="{E24A061B-0655-4EC5-990A-233194B53C1F}" id="{78551CC5-C308-AB03-DFF4-1B5F44EE9595}">
    <xltc:text>Source: https://www.airdna.co/vacation-rental-data/app/us/virginia/luray/overview
Basis/date: Trailing 12 months; market-wide active listings
Retrieved/reviewed September 21, 2026. Not a property-level quote.</xltc:text>
  </xltc:threadedComment>
  <xltc:threadedComment ref="E42" dT="2026-09-21T11:20:36.698" personId="{E24A061B-0655-4EC5-990A-233194B53C1F}" id="{A998B222-DC36-D03C-4CE5-9ECFF85D3F1B}">
    <xltc:text>Source: https://www.airdna.co/vacation-rental-data/app/us/virginia/front-royal/overview
Basis/date: 2026-07
Retrieved/reviewed September 21, 2026. Not a property-level quote.</xltc:text>
  </xltc:threadedComment>
  <xltc:threadedComment ref="G42" dT="2026-09-21T11:20:36.698" personId="{E24A061B-0655-4EC5-990A-233194B53C1F}" id="{A4EAC99A-C36D-322C-FE02-6B06632A95AA}">
    <xltc:text>Source: https://www.airdna.co/vacation-rental-data/app/us/virginia/front-royal/overview
Basis/date: Trailing 12 months; market-wide active listings
Retrieved/reviewed September 21, 2026. Not a property-level quote.</xltc:text>
  </xltc:threadedComment>
  <xltc:threadedComment ref="E43" dT="2026-09-21T11:20:36.698" personId="{E24A061B-0655-4EC5-990A-233194B53C1F}" id="{F3C9BEB1-0E37-C070-C65B-FB89A753901D}">
    <xltc:text>Source: https://www.airdna.co/vacation-rental-data/app/us/virginia/massanutten/overview
Basis/date: None
Retrieved/reviewed September 21, 2026. Not a property-level quote.</xltc:text>
  </xltc:threadedComment>
  <xltc:threadedComment ref="G43" dT="2026-09-21T11:20:36.698" personId="{E24A061B-0655-4EC5-990A-233194B53C1F}" id="{49F44A15-2FC3-2496-ED5D-8E91A35AD4F8}">
    <xltc:text>Source: https://www.airdna.co/vacation-rental-data/app/us/virginia/massanutten/overview
Basis/date: None
Retrieved/reviewed September 21, 2026. Not a property-level quote.</xltc:text>
  </xltc:threadedComment>
  <xltc:threadedComment ref="E44" dT="2026-09-21T11:20:36.698" personId="{E24A061B-0655-4EC5-990A-233194B53C1F}" id="{A94660FD-6465-A70F-88BA-9F0225FA367C}">
    <xltc:text>Source: https://www.airdna.co/vacation-rental-data/app/us/vermont/stowe/overview
Basis/date: Not disclosed
Retrieved/reviewed September 21, 2026. Not a property-level quote.</xltc:text>
  </xltc:threadedComment>
  <xltc:threadedComment ref="G44" dT="2026-09-21T11:20:36.698" personId="{E24A061B-0655-4EC5-990A-233194B53C1F}" id="{901EA71A-90AB-00C1-9AAD-2B86F0DE4384}">
    <xltc:text>Source: https://www.airdna.co/vacation-rental-data/app/us/vermont/stowe/overview
Basis/date: Trailing 12 months; market-wide active listings
Retrieved/reviewed September 21, 2026. Not a property-level quote.</xltc:text>
  </xltc:threadedComment>
  <xltc:threadedComment ref="E45" dT="2026-09-21T11:20:36.698" personId="{E24A061B-0655-4EC5-990A-233194B53C1F}" id="{F4AE5352-1301-1BBA-B3AF-177CCC6393B1}">
    <xltc:text>Source: https://www.airdna.co/vacation-rental-data/app/us/pennsylvania/tobyhanna/overview
Basis/date: 2026-07
Retrieved/reviewed September 21, 2026. Not a property-level quote.</xltc:text>
  </xltc:threadedComment>
  <xltc:threadedComment ref="G45" dT="2026-09-21T11:20:36.699" personId="{E24A061B-0655-4EC5-990A-233194B53C1F}" id="{6A425699-3960-AB0F-FDA1-CEF55361B359}">
    <xltc:text>Source: https://www.airdna.co/vacation-rental-data/app/us/pennsylvania/tobyhanna/overview
Basis/date: Trailing 12 months; market-wide active listings
Retrieved/reviewed September 21, 2026. Not a property-level quote.</xltc:text>
  </xltc:threadedComment>
  <xltc:threadedComment ref="E46" dT="2026-09-21T11:20:36.699" personId="{E24A061B-0655-4EC5-990A-233194B53C1F}" id="{48A1FB96-30D8-B7E2-7677-6B144440E499}">
    <xltc:text>Source: https://www.airdna.co/vacation-rental-data/app/us/pennsylvania/pocono-pines/overview
Basis/date: 2026-06
Retrieved/reviewed September 21, 2026. Not a property-level quote.</xltc:text>
  </xltc:threadedComment>
  <xltc:threadedComment ref="G46" dT="2026-09-21T11:20:36.699" personId="{E24A061B-0655-4EC5-990A-233194B53C1F}" id="{067B2F62-46AD-589B-7529-42DDB55FC467}">
    <xltc:text>Source: https://www.airdna.co/vacation-rental-data/app/us/pennsylvania/pocono-pines/overview
Basis/date: Trailing 12 months; market-wide active listings
Retrieved/reviewed September 21, 2026. Not a property-level quote.</xltc:text>
  </xltc:threadedComment>
  <xltc:threadedComment ref="E47" dT="2026-09-21T11:20:36.699" personId="{E24A061B-0655-4EC5-990A-233194B53C1F}" id="{563BB60D-5DFB-DDB2-E106-310F4B4A6946}">
    <xltc:text>Source: https://www.airdna.co/vacation-rental-data/app/us/pennsylvania/jim-thorpe/overview
Basis/date: Not disclosed
Retrieved/reviewed September 21, 2026. Not a property-level quote.</xltc:text>
  </xltc:threadedComment>
  <xltc:threadedComment ref="G47" dT="2026-09-21T11:20:36.699" personId="{E24A061B-0655-4EC5-990A-233194B53C1F}" id="{1423E806-CA5F-4FE9-26A1-514DB88B00F5}">
    <xltc:text>Source: https://www.airdna.co/vacation-rental-data/app/us/pennsylvania/jim-thorpe/overview
Basis/date: Trailing 12 months; market-wide active listings
Retrieved/reviewed September 21, 2026. Not a property-level quote.</xltc:text>
  </xltc:threadedComment>
  <xltc:threadedComment ref="E48" dT="2026-09-21T11:20:36.699" personId="{E24A061B-0655-4EC5-990A-233194B53C1F}" id="{8EADAE6F-2509-8507-FABC-712360AED2F4}">
    <xltc:text>Source: https://www.airdna.co/vacation-rental-data/app/us/pennsylvania/lake-harmony/overview
Basis/date: Not disclosed
Retrieved/reviewed September 21, 2026. Not a property-level quote.</xltc:text>
  </xltc:threadedComment>
  <xltc:threadedComment ref="G48" dT="2026-09-21T11:20:36.699" personId="{E24A061B-0655-4EC5-990A-233194B53C1F}" id="{43F313A2-0BAB-C752-6ACD-E1194E6DA693}">
    <xltc:text>Source: https://www.airdna.co/vacation-rental-data/app/us/pennsylvania/lake-harmony/overview
Basis/date: Trailing 12 months; market-wide active listings
Retrieved/reviewed September 21, 2026. Not a property-level quote.</xltc:text>
  </xltc:threadedComment>
  <xltc:threadedComment ref="E49" dT="2026-09-21T11:20:36.699" personId="{E24A061B-0655-4EC5-990A-233194B53C1F}" id="{689FDECB-8654-7764-8AA8-AFFB9AFCA3FA}">
    <xltc:text>Source: https://www.airdna.co/vacation-rental-data/app/us/pennsylvania/lancaster/overview
Basis/date: 2026-07
Retrieved/reviewed September 21, 2026. Not a property-level quote.</xltc:text>
  </xltc:threadedComment>
  <xltc:threadedComment ref="G49" dT="2026-09-21T11:20:36.699" personId="{E24A061B-0655-4EC5-990A-233194B53C1F}" id="{2266CF13-E495-A31F-3D34-20D2AA60B8B0}">
    <xltc:text>Source: https://www.airdna.co/vacation-rental-data/app/us/pennsylvania/lancaster/overview
Basis/date: Trailing 12 months; market-wide active listings
Retrieved/reviewed September 21, 2026. Not a property-level quote.</xltc:text>
  </xltc:threadedComment>
  <xltc:threadedComment ref="E50" dT="2026-09-21T11:20:36.699" personId="{E24A061B-0655-4EC5-990A-233194B53C1F}" id="{FC99C5AB-FC3F-7928-BCA3-4AE67C781A7D}">
    <xltc:text>Source: https://www.airdna.co/vacation-rental-data/app/us/pennsylvania/gettysburg/overview
Basis/date: Not disclosed
Retrieved/reviewed September 21, 2026. Not a property-level quote.</xltc:text>
  </xltc:threadedComment>
  <xltc:threadedComment ref="G50" dT="2026-09-21T11:20:36.699" personId="{E24A061B-0655-4EC5-990A-233194B53C1F}" id="{722A29E1-6582-BF61-D548-C0ACF2EBB3F7}">
    <xltc:text>Source: https://www.airdna.co/vacation-rental-data/app/us/pennsylvania/gettysburg/overview
Basis/date: Trailing 12 months; market-wide active listings
Retrieved/reviewed September 21, 2026. Not a property-level quote.</xltc:text>
  </xltc:threadedComment>
  <xltc:threadedComment ref="E51" dT="2026-09-21T11:20:36.699" personId="{E24A061B-0655-4EC5-990A-233194B53C1F}" id="{506C2ECB-B143-8B50-6B60-ECA8B9BE3522}">
    <xltc:text>Source: https://www.airdna.co/vacation-rental-data/app/us/ohio/logan/overview
Basis/date: 2026-07
Retrieved/reviewed September 21, 2026. Not a property-level quote.</xltc:text>
  </xltc:threadedComment>
  <xltc:threadedComment ref="G51" dT="2026-09-21T11:20:36.699" personId="{E24A061B-0655-4EC5-990A-233194B53C1F}" id="{403673FB-C410-A0DA-019B-9445C5E7D587}">
    <xltc:text>Source: https://www.airdna.co/vacation-rental-data/app/us/ohio/logan/overview
Basis/date: Trailing 12 months; market-wide active listings
Retrieved/reviewed September 21, 2026. Not a property-level quote.</xltc:text>
  </xltc:threadedComment>
  <xltc:threadedComment ref="E52" dT="2026-09-21T11:20:36.699" personId="{E24A061B-0655-4EC5-990A-233194B53C1F}" id="{FB2869CB-803F-6530-724D-F3B014038B03}">
    <xltc:text>Source: https://www.airdna.co/vacation-rental-data/app/us/ohio/sandusky/overview
Basis/date: Not disclosed
Retrieved/reviewed September 21, 2026. Not a property-level quote.</xltc:text>
  </xltc:threadedComment>
  <xltc:threadedComment ref="G52" dT="2026-09-21T11:20:36.699" personId="{E24A061B-0655-4EC5-990A-233194B53C1F}" id="{3B305178-277F-3AF6-77DA-D88BE3B9212C}">
    <xltc:text>Source: https://www.airdna.co/vacation-rental-data/app/us/ohio/sandusky/overview
Basis/date: Trailing 12 months; market-wide active listings
Retrieved/reviewed September 21, 2026. Not a property-level quote.</xltc:text>
  </xltc:threadedComment>
  <xltc:threadedComment ref="E53" dT="2026-09-21T11:20:36.699" personId="{E24A061B-0655-4EC5-990A-233194B53C1F}" id="{4E4468F8-68A3-A87A-E8DD-A6AF8931AC7D}">
    <xltc:text>Source: https://www.airdna.co/vacation-rental-data/app/us/michigan/traverse-city/overview
Basis/date: 2026-08
Retrieved/reviewed September 21, 2026. Not a property-level quote.</xltc:text>
  </xltc:threadedComment>
  <xltc:threadedComment ref="G53" dT="2026-09-21T11:20:36.699" personId="{E24A061B-0655-4EC5-990A-233194B53C1F}" id="{141F4D16-C338-A8F2-4FC3-02575E9799F8}">
    <xltc:text>Source: https://www.airdna.co/vacation-rental-data/app/us/michigan/traverse-city/overview
Basis/date: Trailing 12 months; market-wide active listings
Retrieved/reviewed September 21, 2026. Not a property-level quote.</xltc:text>
  </xltc:threadedComment>
  <xltc:threadedComment ref="E54" dT="2026-09-21T11:20:36.699" personId="{E24A061B-0655-4EC5-990A-233194B53C1F}" id="{A68EAD0F-9F1C-4DFC-3E2B-CB3804504BCA}">
    <xltc:text>Source: https://www.airdna.co/vacation-rental-data/app/us/michigan/new-buffalo/overview
Basis/date: 2026-06
Retrieved/reviewed September 21, 2026. Not a property-level quote.</xltc:text>
  </xltc:threadedComment>
  <xltc:threadedComment ref="G54" dT="2026-09-21T11:20:36.699" personId="{E24A061B-0655-4EC5-990A-233194B53C1F}" id="{51987D62-F53D-7887-100E-50C671EB709F}">
    <xltc:text>Source: https://www.airdna.co/vacation-rental-data/app/us/michigan/new-buffalo/overview
Basis/date: Trailing 12 months; market-wide active listings
Retrieved/reviewed September 21, 2026. Not a property-level quote.</xltc:text>
  </xltc:threadedComment>
  <xltc:threadedComment ref="E55" dT="2026-09-21T11:20:36.699" personId="{E24A061B-0655-4EC5-990A-233194B53C1F}" id="{FA9A167F-EC1F-B602-3D93-3ACFDA88DBF8}">
    <xltc:text>Source: https://www.airdna.co/vacation-rental-data/app/us/wisconsin/wisconsin-dells/overview
Basis/date: 2026-07
Retrieved/reviewed September 21, 2026. Not a property-level quote.</xltc:text>
  </xltc:threadedComment>
  <xltc:threadedComment ref="G55" dT="2026-09-21T11:20:36.699" personId="{E24A061B-0655-4EC5-990A-233194B53C1F}" id="{EDB4B0EC-DB61-4936-12F0-3E6D29555770}">
    <xltc:text>Source: https://www.airdna.co/vacation-rental-data/app/us/wisconsin/wisconsin-dells/overview
Basis/date: Trailing 12 months; market-wide active listings
Retrieved/reviewed September 21, 2026. Not a property-level quote.</xltc:text>
  </xltc:threadedComment>
  <xltc:threadedComment ref="E56" dT="2026-09-21T11:20:36.699" personId="{E24A061B-0655-4EC5-990A-233194B53C1F}" id="{FCDC5C1C-6870-11BA-CC5E-5E2F75E80FB1}">
    <xltc:text>Source: https://www.airdna.co/vacation-rental-data/app/us/wisconsin/lake-geneva/overview
Basis/date: Not disclosed
Retrieved/reviewed September 21, 2026. Not a property-level quote.</xltc:text>
  </xltc:threadedComment>
  <xltc:threadedComment ref="G56" dT="2026-09-21T11:20:36.699" personId="{E24A061B-0655-4EC5-990A-233194B53C1F}" id="{8E0761BD-6A0A-0E4A-C2D4-1214AEDF4844}">
    <xltc:text>Source: https://www.airdna.co/vacation-rental-data/app/us/wisconsin/lake-geneva/overview
Basis/date: Trailing 12 months; market-wide active listings
Retrieved/reviewed September 21, 2026. Not a property-level quote.</xltc:text>
  </xltc:threadedComment>
  <xltc:threadedComment ref="E57" dT="2026-09-21T11:20:36.699" personId="{E24A061B-0655-4EC5-990A-233194B53C1F}" id="{756A861A-6BFD-9852-BB15-B230E97A8DC5}">
    <xltc:text>Source: https://www.airdna.co/vacation-rental-data/app/us/missouri/osage-beach/overview
Basis/date: 2026-07
Retrieved/reviewed September 21, 2026. Not a property-level quote.</xltc:text>
  </xltc:threadedComment>
  <xltc:threadedComment ref="G57" dT="2026-09-21T11:20:36.699" personId="{E24A061B-0655-4EC5-990A-233194B53C1F}" id="{253C73B6-E59E-F35A-83B0-6BF5AB8C54B5}">
    <xltc:text>Source: https://www.airdna.co/vacation-rental-data/app/us/missouri/osage-beach/overview
Basis/date: Trailing 12 months; market-wide active listings
Retrieved/reviewed September 21, 2026. Not a property-level quote.</xltc:text>
  </xltc:threadedComment>
  <xltc:threadedComment ref="E58" dT="2026-09-21T11:20:36.699" personId="{E24A061B-0655-4EC5-990A-233194B53C1F}" id="{0C8702DD-9381-F3DC-E656-5577A466A7A9}">
    <xltc:text>Source: https://www.airdna.co/vacation-rental-data/app/us/arkansas/eureka-springs/overview
Basis/date: 2026-07
Retrieved/reviewed September 21, 2026. Not a property-level quote.</xltc:text>
  </xltc:threadedComment>
  <xltc:threadedComment ref="G58" dT="2026-09-21T11:20:36.699" personId="{E24A061B-0655-4EC5-990A-233194B53C1F}" id="{F76DFD06-BACD-B225-A4AA-6100859DD5A8}">
    <xltc:text>Source: https://www.airdna.co/vacation-rental-data/app/us/arkansas/eureka-springs/overview
Basis/date: Trailing 12 months; market-wide active listings
Retrieved/reviewed September 21, 2026. Not a property-level quote.</xltc:text>
  </xltc:threadedComment>
  <xltc:threadedComment ref="E59" dT="2026-09-21T11:20:36.699" personId="{E24A061B-0655-4EC5-990A-233194B53C1F}" id="{EB15A480-3675-47BC-6F10-BA3030FE7EA8}">
    <xltc:text>Source: https://www.airdna.co/vacation-rental-data/app/us/texas/fredericksburg/overview
Basis/date: 2026-06
Retrieved/reviewed September 21, 2026. Not a property-level quote.</xltc:text>
  </xltc:threadedComment>
  <xltc:threadedComment ref="G59" dT="2026-09-21T11:20:36.699" personId="{E24A061B-0655-4EC5-990A-233194B53C1F}" id="{17B9EFF3-7687-962E-412C-ED145281903A}">
    <xltc:text>Source: https://www.airdna.co/vacation-rental-data/app/us/texas/fredericksburg/overview
Basis/date: Trailing 12 months; market-wide active listings
Retrieved/reviewed September 21, 2026. Not a property-level quote.</xltc:text>
  </xltc:threadedComment>
  <xltc:threadedComment ref="E60" dT="2026-09-21T11:20:36.699" personId="{E24A061B-0655-4EC5-990A-233194B53C1F}" id="{A854961E-C11D-61EF-4ADF-4D44F9FD55CB}">
    <xltc:text>Source: https://www.airdna.co/vacation-rental-data/app/us/texas/new-braunfels/overview
Basis/date: 2026-07
Retrieved/reviewed September 21, 2026. Not a property-level quote.</xltc:text>
  </xltc:threadedComment>
  <xltc:threadedComment ref="G60" dT="2026-09-21T11:20:36.699" personId="{E24A061B-0655-4EC5-990A-233194B53C1F}" id="{B33A876E-9A66-B768-6C3D-2593806250E6}">
    <xltc:text>Source: https://www.airdna.co/vacation-rental-data/app/us/texas/new-braunfels/overview
Basis/date: Trailing 12 months; market-wide active listings
Retrieved/reviewed September 21, 2026. Not a property-level quote.</xltc:text>
  </xltc:threadedComment>
  <xltc:threadedComment ref="E61" dT="2026-09-21T11:20:36.699" personId="{E24A061B-0655-4EC5-990A-233194B53C1F}" id="{AA3412B1-7773-7A40-9BB8-3B16B665F834}">
    <xltc:text>Source: https://www.airdna.co/vacation-rental-data/app/us/texas/galveston/overview
Basis/date: 2026-07
Retrieved/reviewed September 21, 2026. Not a property-level quote.</xltc:text>
  </xltc:threadedComment>
  <xltc:threadedComment ref="G61" dT="2026-09-21T11:20:36.699" personId="{E24A061B-0655-4EC5-990A-233194B53C1F}" id="{FA97B982-B635-2A7B-E0DB-7B295768FD26}">
    <xltc:text>Source: https://www.airdna.co/vacation-rental-data/app/us/texas/galveston/overview
Basis/date: Trailing 12 months; market-wide active listings
Retrieved/reviewed September 21, 2026. Not a property-level quote.</xltc:text>
  </xltc:threadedComment>
  <xltc:threadedComment ref="E62" dT="2026-09-21T11:20:36.699" personId="{E24A061B-0655-4EC5-990A-233194B53C1F}" id="{FE0B45A8-F6E2-2F3A-0541-1B5A03CD459A}">
    <xltc:text>Source: https://www.airdna.co/vacation-rental-data/app/us/texas/port-aransas/overview
Basis/date: 2026-07
Retrieved/reviewed September 21, 2026. Not a property-level quote.</xltc:text>
  </xltc:threadedComment>
  <xltc:threadedComment ref="G62" dT="2026-09-21T11:20:36.699" personId="{E24A061B-0655-4EC5-990A-233194B53C1F}" id="{F3B22BC8-18F2-3918-7DB8-67C8DC846A00}">
    <xltc:text>Source: https://www.airdna.co/vacation-rental-data/app/us/texas/port-aransas/overview
Basis/date: Trailing 12 months; market-wide active listings
Retrieved/reviewed September 21, 2026. Not a property-level quote.</xltc:text>
  </xltc:threadedComment>
  <xltc:threadedComment ref="E63" dT="2026-09-21T11:20:36.699" personId="{E24A061B-0655-4EC5-990A-233194B53C1F}" id="{156739C5-AEF6-D1F5-0974-39CEB03E4B85}">
    <xltc:text>Source: https://www.airdna.co/vacation-rental-data/app/us/texas/waco/overview
Basis/date: 2026-07
Retrieved/reviewed September 21, 2026. Not a property-level quote.</xltc:text>
  </xltc:threadedComment>
  <xltc:threadedComment ref="G63" dT="2026-09-21T11:20:36.699" personId="{E24A061B-0655-4EC5-990A-233194B53C1F}" id="{148F4371-DEFF-ADCA-A672-47382BC7E196}">
    <xltc:text>Source: https://www.airdna.co/vacation-rental-data/app/us/texas/waco/overview
Basis/date: Trailing 12 months; market-wide active listings
Retrieved/reviewed September 21, 2026. Not a property-level quote.</xltc:text>
  </xltc:threadedComment>
  <xltc:threadedComment ref="E64" dT="2026-09-21T11:20:36.699" personId="{E24A061B-0655-4EC5-990A-233194B53C1F}" id="{3ECB2C73-B035-268F-F7D9-166FCDE11B92}">
    <xltc:text>Source: https://www.airdna.co/vacation-rental-data/app/us/texas/san-antonio/overview
Basis/date: 2026-07
Retrieved/reviewed September 21, 2026. Not a property-level quote.</xltc:text>
  </xltc:threadedComment>
  <xltc:threadedComment ref="G64" dT="2026-09-21T11:20:36.699" personId="{E24A061B-0655-4EC5-990A-233194B53C1F}" id="{CA295670-DF56-A5E1-9119-4F5E48C4ECA3}">
    <xltc:text>Source: https://www.airdna.co/vacation-rental-data/app/us/texas/san-antonio/overview
Basis/date: Trailing 12 months; market-wide active listings
Retrieved/reviewed September 21, 2026. Not a property-level quote.</xltc:text>
  </xltc:threadedComment>
  <xltc:threadedComment ref="E65" dT="2026-09-21T11:20:36.699" personId="{E24A061B-0655-4EC5-990A-233194B53C1F}" id="{BBF621D5-A5E5-84C7-21AE-0A2557824026}">
    <xltc:text>Source: https://www.airdna.co/vacation-rental-data/app/us/texas/houston/overview
Basis/date: 2026-06
Retrieved/reviewed September 21, 2026. Not a property-level quote.</xltc:text>
  </xltc:threadedComment>
  <xltc:threadedComment ref="G65" dT="2026-09-21T11:20:36.699" personId="{E24A061B-0655-4EC5-990A-233194B53C1F}" id="{4771E0E6-974A-72AB-35F5-E16023D1FC17}">
    <xltc:text>Source: https://www.airdna.co/vacation-rental-data/app/us/texas/houston/overview
Basis/date: Trailing 12 months; market-wide active listings
Retrieved/reviewed September 21, 2026. Not a property-level quote.</xltc:text>
  </xltc:threadedComment>
  <xltc:threadedComment ref="E66" dT="2026-09-21T11:20:36.699" personId="{E24A061B-0655-4EC5-990A-233194B53C1F}" id="{537E6BA5-E461-C661-5347-4A80E74FA8FE}">
    <xltc:text>Source: https://www.airdna.co/vacation-rental-data/app/us/texas/abilene/overview
Basis/date: 2026-08
Retrieved/reviewed September 21, 2026. Not a property-level quote.</xltc:text>
  </xltc:threadedComment>
  <xltc:threadedComment ref="G66" dT="2026-09-21T11:20:36.699" personId="{E24A061B-0655-4EC5-990A-233194B53C1F}" id="{1393A07F-DD7D-C979-CB35-1686DF3CEA21}">
    <xltc:text>Source: https://www.airdna.co/vacation-rental-data/app/us/texas/abilene/overview
Basis/date: Trailing 12 months; market-wide active listings
Retrieved/reviewed September 21, 2026. Not a property-level quote.</xltc:text>
  </xltc:threadedComment>
  <xltc:threadedComment ref="E67" dT="2026-09-21T11:20:36.699" personId="{E24A061B-0655-4EC5-990A-233194B53C1F}" id="{15B21606-7ECB-AD78-62F2-8734D1ED01EE}">
    <xltc:text>Source: https://www.airdna.co/vacation-rental-data/app/us/texas/port-arthur/overview
Basis/date: 2026-08
Retrieved/reviewed September 21, 2026. Not a property-level quote.</xltc:text>
  </xltc:threadedComment>
  <xltc:threadedComment ref="G67" dT="2026-09-21T11:20:36.699" personId="{E24A061B-0655-4EC5-990A-233194B53C1F}" id="{5CB97B61-7FEC-3A32-74A9-565AA552D141}">
    <xltc:text>Source: https://www.airdna.co/vacation-rental-data/app/us/texas/port-arthur/overview
Basis/date: Trailing 12 months; market-wide active listings
Retrieved/reviewed September 21, 2026. Not a property-level quote.</xltc:text>
  </xltc:threadedComment>
  <xltc:threadedComment ref="E68" dT="2026-09-21T11:20:36.699" personId="{E24A061B-0655-4EC5-990A-233194B53C1F}" id="{359C5ED8-815F-ED63-D23E-7516A35184F1}">
    <xltc:text>Source: https://www.airdna.co/vacation-rental-data/app/us/oklahoma/oklahoma-city/overview
Basis/date: Not disclosed
Retrieved/reviewed September 21, 2026. Not a property-level quote.</xltc:text>
  </xltc:threadedComment>
  <xltc:threadedComment ref="G68" dT="2026-09-21T11:20:36.699" personId="{E24A061B-0655-4EC5-990A-233194B53C1F}" id="{C06ED179-3D36-80C7-1F12-B9AEFD9E638D}">
    <xltc:text>Source: https://www.airdna.co/vacation-rental-data/app/us/oklahoma/oklahoma-city/overview
Basis/date: Trailing 12 months; market-wide active listings
Retrieved/reviewed September 21, 2026. Not a property-level quote.</xltc:text>
  </xltc:threadedComment>
  <xltc:threadedComment ref="E69" dT="2026-09-21T11:20:36.699" personId="{E24A061B-0655-4EC5-990A-233194B53C1F}" id="{BC6CD238-CCD4-8570-8B11-5E145054AE1B}">
    <xltc:text>Source: https://www.airdna.co/vacation-rental-data/app/us/oklahoma/tulsa/overview
Basis/date: 2026-07
Retrieved/reviewed September 21, 2026. Not a property-level quote.</xltc:text>
  </xltc:threadedComment>
  <xltc:threadedComment ref="G69" dT="2026-09-21T11:20:36.699" personId="{E24A061B-0655-4EC5-990A-233194B53C1F}" id="{BC2235E4-E84B-F2A7-51F3-017AE30431A7}">
    <xltc:text>Source: https://www.airdna.co/vacation-rental-data/app/us/oklahoma/tulsa/overview
Basis/date: Trailing 12 months; market-wide active listings
Retrieved/reviewed September 21, 2026. Not a property-level quote.</xltc:text>
  </xltc:threadedComment>
  <xltc:threadedComment ref="E70" dT="2026-09-21T11:20:36.699" personId="{E24A061B-0655-4EC5-990A-233194B53C1F}" id="{15890F33-9BDD-2525-E0A5-C7F027E6137F}">
    <xltc:text>Source: https://www.airdna.co/vacation-rental-data/app/us/arkansas/bentonville/overview
Basis/date: Not disclosed
Retrieved/reviewed September 21, 2026. Not a property-level quote.</xltc:text>
  </xltc:threadedComment>
  <xltc:threadedComment ref="G70" dT="2026-09-21T11:20:36.699" personId="{E24A061B-0655-4EC5-990A-233194B53C1F}" id="{5666D426-4FB5-F387-2EFB-20CA392E7E0B}">
    <xltc:text>Source: https://www.airdna.co/vacation-rental-data/app/us/arkansas/bentonville/overview
Basis/date: Trailing 12 months; market-wide active listings
Retrieved/reviewed September 21, 2026. Not a property-level quote.</xltc:text>
  </xltc:threadedComment>
  <xltc:threadedComment ref="E71" dT="2026-09-21T11:20:36.699" personId="{E24A061B-0655-4EC5-990A-233194B53C1F}" id="{47261767-F657-FAB2-B046-885D279ECA5E}">
    <xltc:text>Source: https://www.airdna.co/vacation-rental-data/app/us/arkansas/fayetteville/overview
Basis/date: 2026-07
Retrieved/reviewed September 21, 2026. Not a property-level quote.</xltc:text>
  </xltc:threadedComment>
  <xltc:threadedComment ref="G71" dT="2026-09-21T11:20:36.699" personId="{E24A061B-0655-4EC5-990A-233194B53C1F}" id="{B09FEA8E-0BF1-A08E-A9B1-A255F5C602E2}">
    <xltc:text>Source: https://www.airdna.co/vacation-rental-data/app/us/arkansas/fayetteville/overview
Basis/date: Trailing 12 months; market-wide active listings
Retrieved/reviewed September 21, 2026. Not a property-level quote.</xltc:text>
  </xltc:threadedComment>
  <xltc:threadedComment ref="E72" dT="2026-09-21T11:20:36.699" personId="{E24A061B-0655-4EC5-990A-233194B53C1F}" id="{7C3BB022-7AC6-C98A-DB97-5F60917D88B1}">
    <xltc:text>Source: https://www.airdna.co/vacation-rental-data/app/us/alabama/huntsville/overview
Basis/date: 2026-07
Retrieved/reviewed September 21, 2026. Not a property-level quote.</xltc:text>
  </xltc:threadedComment>
  <xltc:threadedComment ref="G72" dT="2026-09-21T11:20:36.699" personId="{E24A061B-0655-4EC5-990A-233194B53C1F}" id="{EF6BD9C9-7A39-643F-A34C-5A8FFF1FE02A}">
    <xltc:text>Source: https://www.airdna.co/vacation-rental-data/app/us/alabama/huntsville/overview
Basis/date: Trailing 12 months; market-wide active listings
Retrieved/reviewed September 21, 2026. Not a property-level quote.</xltc:text>
  </xltc:threadedComment>
  <xltc:threadedComment ref="E73" dT="2026-09-21T11:20:36.699" personId="{E24A061B-0655-4EC5-990A-233194B53C1F}" id="{1A880F10-39D3-BB34-0D7D-A3ECB9B5F4B2}">
    <xltc:text>Source: https://www.airdna.co/vacation-rental-data/app/us/alabama/birmingham/overview
Basis/date: 2026-07
Retrieved/reviewed September 21, 2026. Not a property-level quote.</xltc:text>
  </xltc:threadedComment>
  <xltc:threadedComment ref="G73" dT="2026-09-21T11:20:36.699" personId="{E24A061B-0655-4EC5-990A-233194B53C1F}" id="{7C52DA7B-440A-060E-9870-2A327D9EA402}">
    <xltc:text>Source: https://www.airdna.co/vacation-rental-data/app/us/alabama/birmingham/overview
Basis/date: Trailing 12 months; market-wide active listings
Retrieved/reviewed September 21, 2026. Not a property-level quote.</xltc:text>
  </xltc:threadedComment>
  <xltc:threadedComment ref="E74" dT="2026-09-21T11:20:36.699" personId="{E24A061B-0655-4EC5-990A-233194B53C1F}" id="{0A7544F0-FBFC-A826-8DB8-51D945D6EA53}">
    <xltc:text>Source: https://www.airdna.co/vacation-rental-data/app/us/alabama/montgomery/overview
Basis/date: 2026-07
Retrieved/reviewed September 21, 2026. Not a property-level quote.</xltc:text>
  </xltc:threadedComment>
  <xltc:threadedComment ref="G74" dT="2026-09-21T11:20:36.699" personId="{E24A061B-0655-4EC5-990A-233194B53C1F}" id="{80E46042-2D86-DA5D-515C-ADECA846A117}">
    <xltc:text>Source: https://www.airdna.co/vacation-rental-data/app/us/alabama/montgomery/overview
Basis/date: Trailing 12 months; market-wide active listings
Retrieved/reviewed September 21, 2026. Not a property-level quote.</xltc:text>
  </xltc:threadedComment>
  <xltc:threadedComment ref="E75" dT="2026-09-21T11:20:36.699" personId="{E24A061B-0655-4EC5-990A-233194B53C1F}" id="{42671894-D78A-E595-F45B-CF6B47074654}">
    <xltc:text>Source: https://www.airdna.co/vacation-rental-data/app/us/kentucky/louisville/overview
Basis/date: 2026-07
Retrieved/reviewed September 21, 2026. Not a property-level quote.</xltc:text>
  </xltc:threadedComment>
  <xltc:threadedComment ref="G75" dT="2026-09-21T11:20:36.699" personId="{E24A061B-0655-4EC5-990A-233194B53C1F}" id="{3A157E0A-F620-FA5E-1988-9283B05B453F}">
    <xltc:text>Source: https://www.airdna.co/vacation-rental-data/app/us/kentucky/louisville/overview
Basis/date: Trailing 12 months; market-wide active listings
Retrieved/reviewed September 21, 2026. Not a property-level quote.</xltc:text>
  </xltc:threadedComment>
  <xltc:threadedComment ref="E76" dT="2026-09-21T11:20:36.699" personId="{E24A061B-0655-4EC5-990A-233194B53C1F}" id="{22AE0088-C3AF-44EA-54A0-AB5837EA7C86}">
    <xltc:text>Source: https://www.airdna.co/vacation-rental-data/app/us/kentucky/lexington/overview
Basis/date: 2026-07
Retrieved/reviewed September 21, 2026. Not a property-level quote.</xltc:text>
  </xltc:threadedComment>
  <xltc:threadedComment ref="G76" dT="2026-09-21T11:20:36.699" personId="{E24A061B-0655-4EC5-990A-233194B53C1F}" id="{44C099BE-3342-644D-2732-E0837178BFC2}">
    <xltc:text>Source: https://www.airdna.co/vacation-rental-data/app/us/kentucky/lexington/overview
Basis/date: Trailing 12 months; market-wide active listings
Retrieved/reviewed September 21, 2026. Not a property-level quote.</xltc:text>
  </xltc:threadedComment>
  <xltc:threadedComment ref="E77" dT="2026-09-21T11:20:36.699" personId="{E24A061B-0655-4EC5-990A-233194B53C1F}" id="{3A6F78E4-7DE6-6172-4A73-8DC2B7A06EC3}">
    <xltc:text>Source: https://www.airdna.co/vacation-rental-data/app/us/indiana/indianapolis/overview
Basis/date: 2026-07
Retrieved/reviewed September 21, 2026. Not a property-level quote.</xltc:text>
  </xltc:threadedComment>
  <xltc:threadedComment ref="G77" dT="2026-09-21T11:20:36.699" personId="{E24A061B-0655-4EC5-990A-233194B53C1F}" id="{2D8A9413-2075-60C8-6C3A-D83C1C59E30C}">
    <xltc:text>Source: https://www.airdna.co/vacation-rental-data/app/us/indiana/indianapolis/overview
Basis/date: Trailing 12 months; market-wide active listings
Retrieved/reviewed September 21, 2026. Not a property-level quote.</xltc:text>
  </xltc:threadedComment>
  <xltc:threadedComment ref="E78" dT="2026-09-21T11:20:36.699" personId="{E24A061B-0655-4EC5-990A-233194B53C1F}" id="{BA7BCB7A-F18E-02CB-170B-FAC200BC8EB8}">
    <xltc:text>Source: https://www.airdna.co/vacation-rental-data/app/us/ohio/columbus/overview
Basis/date: 2026-07
Retrieved/reviewed September 21, 2026. Not a property-level quote.</xltc:text>
  </xltc:threadedComment>
  <xltc:threadedComment ref="G78" dT="2026-09-21T11:20:36.699" personId="{E24A061B-0655-4EC5-990A-233194B53C1F}" id="{CCD76E46-4FAB-7290-6D60-8B7D0CC287A6}">
    <xltc:text>Source: https://www.airdna.co/vacation-rental-data/app/us/ohio/columbus/overview
Basis/date: Trailing 12 months; market-wide active listings
Retrieved/reviewed September 21, 2026. Not a property-level quote.</xltc:text>
  </xltc:threadedComment>
  <xltc:threadedComment ref="E79" dT="2026-09-21T11:20:36.699" personId="{E24A061B-0655-4EC5-990A-233194B53C1F}" id="{DC5C3DE6-061E-3280-19CE-ABC66D9905D8}">
    <xltc:text>Source: https://www.airdna.co/vacation-rental-data/app/us/ohio/cleveland/overview
Basis/date: 2026-08
Retrieved/reviewed September 21, 2026. Not a property-level quote.</xltc:text>
  </xltc:threadedComment>
  <xltc:threadedComment ref="G79" dT="2026-09-21T11:20:36.699" personId="{E24A061B-0655-4EC5-990A-233194B53C1F}" id="{B9349BDA-F13E-ADED-1F0C-9CA692AAED08}">
    <xltc:text>Source: https://www.airdna.co/vacation-rental-data/app/us/ohio/cleveland/overview
Basis/date: Trailing 12 months; market-wide active listings
Retrieved/reviewed September 21, 2026. Not a property-level quote.</xltc:text>
  </xltc:threadedComment>
  <xltc:threadedComment ref="E80" dT="2026-09-21T11:20:36.699" personId="{E24A061B-0655-4EC5-990A-233194B53C1F}" id="{659B0AF8-6FE4-C34D-5B41-9D65FEE48C2A}">
    <xltc:text>Source: https://www.airdna.co/vacation-rental-data/app/us/ohio/akron/overview
Basis/date: Not disclosed
Retrieved/reviewed September 21, 2026. Not a property-level quote.</xltc:text>
  </xltc:threadedComment>
  <xltc:threadedComment ref="G80" dT="2026-09-21T11:20:36.699" personId="{E24A061B-0655-4EC5-990A-233194B53C1F}" id="{F1099B42-73C1-7BF6-DCB8-BC21BA4D508D}">
    <xltc:text>Source: https://www.airdna.co/vacation-rental-data/app/us/ohio/akron/overview
Basis/date: Trailing 12 months; market-wide active listings
Retrieved/reviewed September 21, 2026. Not a property-level quote.</xltc:text>
  </xltc:threadedComment>
  <xltc:threadedComment ref="E81" dT="2026-09-21T11:20:36.699" personId="{E24A061B-0655-4EC5-990A-233194B53C1F}" id="{61E29F5E-DB7F-C8C6-A260-42DB9C328F49}">
    <xltc:text>Source: https://www.airdna.co/vacation-rental-data/app/us/pennsylvania/pittsburgh/overview
Basis/date: 2026-06
Retrieved/reviewed September 21, 2026. Not a property-level quote.</xltc:text>
  </xltc:threadedComment>
  <xltc:threadedComment ref="G81" dT="2026-09-21T11:20:36.699" personId="{E24A061B-0655-4EC5-990A-233194B53C1F}" id="{1E844AE0-A0CB-426F-C8E9-B508ECA46428}">
    <xltc:text>Source: https://www.airdna.co/vacation-rental-data/app/us/pennsylvania/pittsburgh/overview
Basis/date: Trailing 12 months; market-wide active listings
Retrieved/reviewed September 21, 2026. Not a property-level quote.</xltc:text>
  </xltc:threadedComment>
  <xltc:threadedComment ref="E82" dT="2026-09-21T11:20:36.699" personId="{E24A061B-0655-4EC5-990A-233194B53C1F}" id="{155F42FF-C521-BE87-5F12-3A0EE4D4EF78}">
    <xltc:text>Source: https://www.airdna.co/vacation-rental-data/app/us/tennessee/chattanooga/overview
Basis/date: 2026-06
Retrieved/reviewed September 21, 2026. Not a property-level quote.</xltc:text>
  </xltc:threadedComment>
  <xltc:threadedComment ref="G82" dT="2026-09-21T11:20:36.699" personId="{E24A061B-0655-4EC5-990A-233194B53C1F}" id="{6D280349-650A-D1B0-3E1D-6A6A0A110456}">
    <xltc:text>Source: https://www.airdna.co/vacation-rental-data/app/us/tennessee/chattanooga/overview
Basis/date: Trailing 12 months; market-wide active listings
Retrieved/reviewed September 21, 2026. Not a property-level quote.</xltc:text>
  </xltc:threadedComment>
  <xltc:threadedComment ref="E83" dT="2026-09-21T11:20:36.699" personId="{E24A061B-0655-4EC5-990A-233194B53C1F}" id="{93743B9B-0A0D-BD45-907C-CA040A9BE100}">
    <xltc:text>Source: https://www.airdna.co/vacation-rental-data/app/us/tennessee/knoxville/overview
Basis/date: 2026-07
Retrieved/reviewed September 21, 2026. Not a property-level quote.</xltc:text>
  </xltc:threadedComment>
  <xltc:threadedComment ref="G83" dT="2026-09-21T11:20:36.699" personId="{E24A061B-0655-4EC5-990A-233194B53C1F}" id="{751A12C2-1271-28B4-0348-54F556E2B88B}">
    <xltc:text>Source: https://www.airdna.co/vacation-rental-data/app/us/tennessee/knoxville/overview
Basis/date: Trailing 12 months; market-wide active listings
Retrieved/reviewed September 21, 2026. Not a property-level quote.</xltc:text>
  </xltc:threadedComment>
  <xltc:threadedComment ref="E84" dT="2026-09-21T11:20:36.699" personId="{E24A061B-0655-4EC5-990A-233194B53C1F}" id="{47D205CC-29BE-0E20-E81B-83198FB3FAD0}">
    <xltc:text>Source: https://www.airdna.co/vacation-rental-data/app/us/tennessee/nashville/overview
Basis/date: 2026-08
Retrieved/reviewed September 21, 2026. Not a property-level quote.</xltc:text>
  </xltc:threadedComment>
  <xltc:threadedComment ref="G84" dT="2026-09-21T11:20:36.699" personId="{E24A061B-0655-4EC5-990A-233194B53C1F}" id="{111F944F-D6F6-0F78-BDC9-F3942A5435DC}">
    <xltc:text>Source: https://www.airdna.co/vacation-rental-data/app/us/tennessee/nashville/overview
Basis/date: Trailing 12 months; market-wide active listings
Retrieved/reviewed September 21, 2026. Not a property-level quote.</xltc:text>
  </xltc:threadedComment>
  <xltc:threadedComment ref="E85" dT="2026-09-21T11:20:36.699" personId="{E24A061B-0655-4EC5-990A-233194B53C1F}" id="{7E24030C-2277-BC77-FCF4-F94C2269EAD7}">
    <xltc:text>Source: https://www.airdna.co/vacation-rental-data/app/us/georgia/savannah/overview
Basis/date: 2026-07
Retrieved/reviewed September 21, 2026. Not a property-level quote.</xltc:text>
  </xltc:threadedComment>
  <xltc:threadedComment ref="G85" dT="2026-09-21T11:20:36.7" personId="{E24A061B-0655-4EC5-990A-233194B53C1F}" id="{242D0C65-C739-45EB-424C-62F43CFD4903}">
    <xltc:text>Source: https://www.airdna.co/vacation-rental-data/app/us/georgia/savannah/overview
Basis/date: Trailing 12 months; market-wide active listings
Retrieved/reviewed September 21, 2026. Not a property-level quote.</xltc:text>
  </xltc:threadedComment>
  <xltc:threadedComment ref="E86" dT="2026-09-21T11:20:36.7" personId="{E24A061B-0655-4EC5-990A-233194B53C1F}" id="{15E36416-6D14-CE89-2252-48B2015DF9F6}">
    <xltc:text>Source: https://www.airdna.co/vacation-rental-data/app/us/georgia/athens/overview
Basis/date: 2026-06
Retrieved/reviewed September 21, 2026. Not a property-level quote.</xltc:text>
  </xltc:threadedComment>
  <xltc:threadedComment ref="G86" dT="2026-09-21T11:20:36.7" personId="{E24A061B-0655-4EC5-990A-233194B53C1F}" id="{03292965-B15C-075C-8BE1-361476CA1F04}">
    <xltc:text>Source: https://www.airdna.co/vacation-rental-data/app/us/georgia/athens/overview
Basis/date: Trailing 12 months; market-wide active listings
Retrieved/reviewed September 21, 2026. Not a property-level quote.</xltc:text>
  </xltc:threadedComment>
  <xltc:threadedComment ref="E87" dT="2026-09-21T11:20:36.7" personId="{E24A061B-0655-4EC5-990A-233194B53C1F}" id="{07A7CEC0-C901-5E81-CC74-18C2D7632D1D}">
    <xltc:text>Source: https://www.airdna.co/vacation-rental-data/app/us/arizona/flagstaff/overview
Basis/date: 2026-07
Retrieved/reviewed September 21, 2026. Not a property-level quote.</xltc:text>
  </xltc:threadedComment>
  <xltc:threadedComment ref="G87" dT="2026-09-21T11:20:36.7" personId="{E24A061B-0655-4EC5-990A-233194B53C1F}" id="{61A5A47C-E9FD-FC64-7F59-C290AE0FA54B}">
    <xltc:text>Source: https://www.airdna.co/vacation-rental-data/app/us/arizona/flagstaff/overview
Basis/date: Trailing 12 months; market-wide active listings
Retrieved/reviewed September 21, 2026. Not a property-level quote.</xltc:text>
  </xltc:threadedComment>
  <xltc:threadedComment ref="E88" dT="2026-09-21T11:20:36.7" personId="{E24A061B-0655-4EC5-990A-233194B53C1F}" id="{0BDC3746-0263-DD5C-B9C8-D3DF9492147E}">
    <xltc:text>Source: https://www.airdna.co/vacation-rental-data/app/us/arizona/sedona/overview
Basis/date: 2026-07
Retrieved/reviewed September 21, 2026. Not a property-level quote.</xltc:text>
  </xltc:threadedComment>
  <xltc:threadedComment ref="G88" dT="2026-09-21T11:20:36.7" personId="{E24A061B-0655-4EC5-990A-233194B53C1F}" id="{ADE84E45-F2E2-3B0B-4359-A15030352F73}">
    <xltc:text>Source: https://www.airdna.co/vacation-rental-data/app/us/arizona/sedona/overview
Basis/date: Trailing 12 months; market-wide active listings
Retrieved/reviewed September 21, 2026. Not a property-level quote.</xltc:text>
  </xltc:threadedComment>
  <xltc:threadedComment ref="E89" dT="2026-09-21T11:20:36.7" personId="{E24A061B-0655-4EC5-990A-233194B53C1F}" id="{D1C4950D-2A7D-93B3-24F7-054162CBD4EA}">
    <xltc:text>Source: https://rabbu.com/airbnb-data/scottsdale-az
Basis/date: Snapshot Apr 27, 2026; annual revenue historical 12-month average
Retrieved/reviewed September 21, 2026. Not a property-level quote.</xltc:text>
  </xltc:threadedComment>
  <xltc:threadedComment ref="G89" dT="2026-09-21T11:20:36.7" personId="{E24A061B-0655-4EC5-990A-233194B53C1F}" id="{0392CA88-D1ED-D1E3-AA6E-0B814B4057CC}">
    <xltc:text>Source: https://rabbu.com/airbnb-data/scottsdale-az
Basis/date: Historical 12-month average (Rabbu)
Retrieved/reviewed September 21, 2026. Not a property-level quote.</xltc:text>
  </xltc:threadedComment>
  <xltc:threadedComment ref="E90" dT="2026-09-21T11:20:36.7" personId="{E24A061B-0655-4EC5-990A-233194B53C1F}" id="{899924AA-4AEF-7311-76EC-797A560A55D0}">
    <xltc:text>Source: https://www.airdna.co/vacation-rental-data/app/us/arizona/tucson/overview
Basis/date: 2026-08
Retrieved/reviewed September 21, 2026. Not a property-level quote.</xltc:text>
  </xltc:threadedComment>
  <xltc:threadedComment ref="G90" dT="2026-09-21T11:20:36.7" personId="{E24A061B-0655-4EC5-990A-233194B53C1F}" id="{E7BE21FF-0E8D-1274-AD67-E2C3446F8737}">
    <xltc:text>Source: https://www.airdna.co/vacation-rental-data/app/us/arizona/tucson/overview
Basis/date: Trailing 12 months; market-wide active listings
Retrieved/reviewed September 21, 2026. Not a property-level quote.</xltc:text>
  </xltc:threadedComment>
  <xltc:threadedComment ref="E91" dT="2026-09-21T11:20:36.7" personId="{E24A061B-0655-4EC5-990A-233194B53C1F}" id="{59EAB994-2285-7DF5-BE98-95F8C8B5AB87}">
    <xltc:text>Source: https://www.airdna.co/vacation-rental-data/app/us/california/joshua-tree/overview
Basis/date: 2026-06
Retrieved/reviewed September 21, 2026. Not a property-level quote.</xltc:text>
  </xltc:threadedComment>
  <xltc:threadedComment ref="G91" dT="2026-09-21T11:20:36.7" personId="{E24A061B-0655-4EC5-990A-233194B53C1F}" id="{6D807FDE-D2F5-8B4E-8EDA-CD177822162F}">
    <xltc:text>Source: https://www.airdna.co/vacation-rental-data/app/us/california/joshua-tree/overview
Basis/date: Trailing 12 months; market-wide active listings
Retrieved/reviewed September 21, 2026. Not a property-level quote.</xltc:text>
  </xltc:threadedComment>
  <xltc:threadedComment ref="E92" dT="2026-09-21T11:20:36.7" personId="{E24A061B-0655-4EC5-990A-233194B53C1F}" id="{3F9FAF26-8638-2068-4F2D-B976A8242791}">
    <xltc:text>Source: https://www.airdna.co/vacation-rental-data/app/us/california/big-bear-lake/overview
Basis/date: 2026-07
Retrieved/reviewed September 21, 2026. Not a property-level quote.</xltc:text>
  </xltc:threadedComment>
  <xltc:threadedComment ref="G92" dT="2026-09-21T11:20:36.7" personId="{E24A061B-0655-4EC5-990A-233194B53C1F}" id="{8174569D-2D07-E0E1-7ADC-13E492A9058F}">
    <xltc:text>Source: https://www.airdna.co/vacation-rental-data/app/us/california/big-bear-lake/overview
Basis/date: Trailing 12 months; market-wide active listings
Retrieved/reviewed September 21, 2026. Not a property-level quote.</xltc:text>
  </xltc:threadedComment>
  <xltc:threadedComment ref="E93" dT="2026-09-21T11:20:36.7" personId="{E24A061B-0655-4EC5-990A-233194B53C1F}" id="{DD8A3347-1089-5DB4-62B7-E02AE1B0F084}">
    <xltc:text>Source: https://www.airdna.co/vacation-rental-data/app/us/california/palm-springs/overview
Basis/date: 2026-07
Retrieved/reviewed September 21, 2026. Not a property-level quote.</xltc:text>
  </xltc:threadedComment>
  <xltc:threadedComment ref="G93" dT="2026-09-21T11:20:36.7" personId="{E24A061B-0655-4EC5-990A-233194B53C1F}" id="{A4486B31-9406-7E11-28E9-41EFF7465D34}">
    <xltc:text>Source: https://www.airdna.co/vacation-rental-data/app/us/california/palm-springs/overview
Basis/date: Trailing 12 months; market-wide active listings
Retrieved/reviewed September 21, 2026. Not a property-level quote.</xltc:text>
  </xltc:threadedComment>
  <xltc:threadedComment ref="E94" dT="2026-09-21T11:20:36.7" personId="{E24A061B-0655-4EC5-990A-233194B53C1F}" id="{972F5EF6-ABEE-B730-01C0-6E69CD54D67F}">
    <xltc:text>Source: https://www.airdna.co/vacation-rental-data/app/us/california/mammoth-lakes/overview
Basis/date: 2026-06
Retrieved/reviewed September 21, 2026. Not a property-level quote.</xltc:text>
  </xltc:threadedComment>
  <xltc:threadedComment ref="G94" dT="2026-09-21T11:20:36.7" personId="{E24A061B-0655-4EC5-990A-233194B53C1F}" id="{A7501266-B366-694A-2327-D775922C3D34}">
    <xltc:text>Source: https://www.airdna.co/vacation-rental-data/app/us/california/mammoth-lakes/overview
Basis/date: Trailing 12 months; market-wide active listings
Retrieved/reviewed September 21, 2026. Not a property-level quote.</xltc:text>
  </xltc:threadedComment>
  <xltc:threadedComment ref="E95" dT="2026-09-21T11:20:36.7" personId="{E24A061B-0655-4EC5-990A-233194B53C1F}" id="{FB3B4876-F46B-94EB-B7B8-80D8A14E175C}">
    <xltc:text>Source: https://www.airdna.co/vacation-rental-data/app/us/colorado/breckenridge/overview
Basis/date: 2026-08
Retrieved/reviewed September 21, 2026. Not a property-level quote.</xltc:text>
  </xltc:threadedComment>
  <xltc:threadedComment ref="G95" dT="2026-09-21T11:20:36.7" personId="{E24A061B-0655-4EC5-990A-233194B53C1F}" id="{FFC5270D-F4FE-2DBC-C84B-E4FE7443F8BE}">
    <xltc:text>Source: https://www.airdna.co/vacation-rental-data/app/us/colorado/breckenridge/overview
Basis/date: Trailing 12 months; market-wide active listings
Retrieved/reviewed September 21, 2026. Not a property-level quote.</xltc:text>
  </xltc:threadedComment>
  <xltc:threadedComment ref="E96" dT="2026-09-21T11:20:36.7" personId="{E24A061B-0655-4EC5-990A-233194B53C1F}" id="{B5D93EC1-91B5-4324-3537-7B92611F585A}">
    <xltc:text>Source: https://www.airdna.co/vacation-rental-data/app/us/colorado/estes-park/overview
Basis/date: 2026-07
Retrieved/reviewed September 21, 2026. Not a property-level quote.</xltc:text>
  </xltc:threadedComment>
  <xltc:threadedComment ref="G96" dT="2026-09-21T11:20:36.7" personId="{E24A061B-0655-4EC5-990A-233194B53C1F}" id="{B5228B64-5C17-F6A1-D55F-7069A8115297}">
    <xltc:text>Source: https://www.airdna.co/vacation-rental-data/app/us/colorado/estes-park/overview
Basis/date: Trailing 12 months; market-wide active listings
Retrieved/reviewed September 21, 2026. Not a property-level quote.</xltc:text>
  </xltc:threadedComment>
  <xltc:threadedComment ref="E97" dT="2026-09-21T11:20:36.7" personId="{E24A061B-0655-4EC5-990A-233194B53C1F}" id="{75CB083C-A09B-D591-2C7B-E4D9D23254BF}">
    <xltc:text>Source: https://www.airdna.co/vacation-rental-data/app/us/colorado/pagosa-springs/overview
Basis/date: 2026-07
Retrieved/reviewed September 21, 2026. Not a property-level quote.</xltc:text>
  </xltc:threadedComment>
  <xltc:threadedComment ref="G97" dT="2026-09-21T11:20:36.7" personId="{E24A061B-0655-4EC5-990A-233194B53C1F}" id="{61EBF828-C7A1-70AD-2C00-78D58CEF269C}">
    <xltc:text>Source: https://www.airdna.co/vacation-rental-data/app/us/colorado/pagosa-springs/overview
Basis/date: Trailing 12 months; market-wide active listings
Retrieved/reviewed September 21, 2026. Not a property-level quote.</xltc:text>
  </xltc:threadedComment>
  <xltc:threadedComment ref="E98" dT="2026-09-21T11:20:36.7" personId="{E24A061B-0655-4EC5-990A-233194B53C1F}" id="{FC6EE654-28BD-ED83-1D35-2478CE61FBF0}">
    <xltc:text>Source: https://www.airdna.co/vacation-rental-data/app/us/colorado/durango/overview
Basis/date: Not disclosed
Retrieved/reviewed September 21, 2026. Not a property-level quote.</xltc:text>
  </xltc:threadedComment>
  <xltc:threadedComment ref="G98" dT="2026-09-21T11:20:36.7" personId="{E24A061B-0655-4EC5-990A-233194B53C1F}" id="{9538859B-E52E-87FD-B2E7-65816CCFF995}">
    <xltc:text>Source: https://www.airdna.co/vacation-rental-data/app/us/colorado/durango/overview
Basis/date: Trailing 12 months; market-wide active listings
Retrieved/reviewed September 21, 2026. Not a property-level quote.</xltc:text>
  </xltc:threadedComment>
  <xltc:threadedComment ref="E99" dT="2026-09-21T11:20:36.7" personId="{E24A061B-0655-4EC5-990A-233194B53C1F}" id="{EA26C966-B81E-7A38-F391-BE14216F3FBE}">
    <xltc:text>Source: https://www.airdna.co/vacation-rental-data/app/us/utah/park-city/overview
Basis/date: 2026-06
Retrieved/reviewed September 21, 2026. Not a property-level quote.</xltc:text>
  </xltc:threadedComment>
  <xltc:threadedComment ref="G99" dT="2026-09-21T11:20:36.7" personId="{E24A061B-0655-4EC5-990A-233194B53C1F}" id="{1372827F-0DA2-4791-940B-30D2DBC3CB33}">
    <xltc:text>Source: https://www.airdna.co/vacation-rental-data/app/us/utah/park-city/overview
Basis/date: Trailing 12 months; market-wide active listings
Retrieved/reviewed September 21, 2026. Not a property-level quote.</xltc:text>
  </xltc:threadedComment>
  <xltc:threadedComment ref="E100" dT="2026-09-21T11:20:36.7" personId="{E24A061B-0655-4EC5-990A-233194B53C1F}" id="{A6E0A399-3827-5338-9F75-CC287217371B}">
    <xltc:text>Source: https://www.airdna.co/vacation-rental-data/app/us/utah/hurricane/overview
Basis/date: 2026-05
Retrieved/reviewed September 21, 2026. Not a property-level quote.</xltc:text>
  </xltc:threadedComment>
  <xltc:threadedComment ref="G100" dT="2026-09-21T11:20:36.7" personId="{E24A061B-0655-4EC5-990A-233194B53C1F}" id="{19C790C3-CDEF-E25B-C95D-ECA3B95FCA7D}">
    <xltc:text>Source: https://www.airdna.co/vacation-rental-data/app/us/utah/hurricane/overview
Basis/date: Trailing 12 months; market-wide active listings
Retrieved/reviewed September 21, 2026. Not a property-level quote.</xltc:text>
  </xltc:threadedComment>
  <xltc:threadedComment ref="E101" dT="2026-09-21T11:20:36.7" personId="{E24A061B-0655-4EC5-990A-233194B53C1F}" id="{AAA35233-F430-0643-295A-D28E45A6EBB3}">
    <xltc:text>Source: https://www.airdna.co/vacation-rental-data/app/us/utah/moab/overview
Basis/date: 2026-07
Retrieved/reviewed September 21, 2026. Not a property-level quote.</xltc:text>
  </xltc:threadedComment>
  <xltc:threadedComment ref="G101" dT="2026-09-21T11:20:36.7" personId="{E24A061B-0655-4EC5-990A-233194B53C1F}" id="{6DE21164-16B7-98B0-5DEA-3DE1D7CAA611}">
    <xltc:text>Source: https://www.airdna.co/vacation-rental-data/app/us/utah/moab/overview
Basis/date: Trailing 12 months; market-wide active listings
Retrieved/reviewed September 21, 2026. Not a property-level quote.</xltc:text>
  </xltc:threadedComment>
  <xltc:threadedComment ref="E102" dT="2026-09-21T11:20:36.7" personId="{E24A061B-0655-4EC5-990A-233194B53C1F}" id="{8DB27B47-9940-04FA-DBA2-1ECF4E2BFDC6}">
    <xltc:text>Source: https://www.airdna.co/vacation-rental-data/app/us/montana/whitefish/overview
Basis/date: 2026-07
Retrieved/reviewed September 21, 2026. Not a property-level quote.</xltc:text>
  </xltc:threadedComment>
  <xltc:threadedComment ref="G102" dT="2026-09-21T11:20:36.7" personId="{E24A061B-0655-4EC5-990A-233194B53C1F}" id="{5F35FD62-C808-0F39-7AFF-504B9B6489BE}">
    <xltc:text>Source: https://www.airdna.co/vacation-rental-data/app/us/montana/whitefish/overview
Basis/date: Trailing 12 months; market-wide active listings
Retrieved/reviewed September 21, 2026. Not a property-level quote.</xltc:text>
  </xltc:threadedComment>
  <xltc:threadedComment ref="E103" dT="2026-09-21T11:20:36.7" personId="{E24A061B-0655-4EC5-990A-233194B53C1F}" id="{786B91FD-ADA5-4E3A-AFFF-EDACA2D0895B}">
    <xltc:text>Source: https://www.airdna.co/vacation-rental-data/app/us/montana/west-yellowstone/overview
Basis/date: Not disclosed
Retrieved/reviewed September 21, 2026. Not a property-level quote.</xltc:text>
  </xltc:threadedComment>
  <xltc:threadedComment ref="G103" dT="2026-09-21T11:20:36.7" personId="{E24A061B-0655-4EC5-990A-233194B53C1F}" id="{57419D7C-D53E-C812-9DFE-5155A31FD1EC}">
    <xltc:text>Source: https://www.airdna.co/vacation-rental-data/app/us/montana/west-yellowstone/overview
Basis/date: Trailing 12 months; market-wide active listings
Retrieved/reviewed September 21, 2026. Not a property-level quote.</xltc:text>
  </xltc:threadedComment>
  <xltc:threadedComment ref="E104" dT="2026-09-21T11:20:36.7" personId="{E24A061B-0655-4EC5-990A-233194B53C1F}" id="{B6B6B878-2A3E-AF1B-08B4-ACC303049D76}">
    <xltc:text>Source: https://www.airdna.co/vacation-rental-data/app/us/oregon/bend/overview
Basis/date: 2026-07
Retrieved/reviewed September 21, 2026. Not a property-level quote.</xltc:text>
  </xltc:threadedComment>
  <xltc:threadedComment ref="G104" dT="2026-09-21T11:20:36.7" personId="{E24A061B-0655-4EC5-990A-233194B53C1F}" id="{3259065B-7D09-B5A6-28BF-11E24281231E}">
    <xltc:text>Source: https://www.airdna.co/vacation-rental-data/app/us/oregon/bend/overview
Basis/date: Trailing 12 months; market-wide active listings
Retrieved/reviewed September 21, 2026. Not a property-level quote.</xltc:text>
  </xltc:threadedComment>
  <xltc:threadedComment ref="E105" dT="2026-09-21T11:20:36.7" personId="{E24A061B-0655-4EC5-990A-233194B53C1F}" id="{B9656213-8D4F-7253-9ED1-8B1D763E799B}">
    <xltc:text>Source: https://www.airdna.co/vacation-rental-data/app/us/oregon/lincoln-city/overview
Basis/date: 2026-07
Retrieved/reviewed September 21, 2026. Not a property-level quote.</xltc:text>
  </xltc:threadedComment>
  <xltc:threadedComment ref="G105" dT="2026-09-21T11:20:36.7" personId="{E24A061B-0655-4EC5-990A-233194B53C1F}" id="{550145DF-67EE-1634-9680-24DBF5A93868}">
    <xltc:text>Source: https://www.airdna.co/vacation-rental-data/app/us/oregon/lincoln-city/overview
Basis/date: Trailing 12 months; market-wide active listings
Retrieved/reviewed September 21, 2026. Not a property-level quote.</xltc:text>
  </xltc:threadedComment>
  <xltc:threadedComment ref="E106" dT="2026-09-21T11:20:36.7" personId="{E24A061B-0655-4EC5-990A-233194B53C1F}" id="{617CAA82-D7EB-FCBC-BB19-E53BFA2FF673}">
    <xltc:text>Source: https://www.airdna.co/vacation-rental-data/app/us/maine/bar-harbor/overview
Basis/date: 2026-06
Retrieved/reviewed September 21, 2026. Not a property-level quote.</xltc:text>
  </xltc:threadedComment>
  <xltc:threadedComment ref="G106" dT="2026-09-21T11:20:36.7" personId="{E24A061B-0655-4EC5-990A-233194B53C1F}" id="{6FB13246-9E07-93B9-F24E-48A48FD8E512}">
    <xltc:text>Source: https://www.airdna.co/vacation-rental-data/app/us/maine/bar-harbor/overview
Basis/date: Trailing 12 months; market-wide active listings
Retrieved/reviewed September 21, 2026. Not a property-level quote.</xltc:text>
  </xltc:threadedComment>
  <xltc:threadedComment ref="G8" dT="2026-09-21T11:31:32.807" personId="{E24A061B-0655-4EC5-990A-233194B53C1F}" id="{77843A9F-5A39-3774-5A27-8417CB13EA72}">
    <xltc:text>Public snapshots disagreed: the Sept. 1 / Aug. 2026 snapshot reported $66,600, 57% occupancy and $340 ADR; an Aug. 5 / July 2026 snapshot reported $46,800, 53% and $346. The later-dated snapshot is retained. Refresh a coherent matched cohort; do not infer growth from these versions.
Both use the same public AirDNA URL. Values are not combined.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C7" dT="2026-09-21T11:20:36.698" personId="{E24A061B-0655-4EC5-990A-233194B53C1F}" id="{AEE68C17-0858-D39D-9AF5-AB39D86BA816}">
    <xltc:text>Source: https://www.zillow.com/home-values/7018/sevierville-tn/
Basis/date: 2026-04-30
Retrieved/reviewed September 21, 2026. Not a property-level quote.</xltc:text>
  </xltc:threadedComment>
  <xltc:threadedComment ref="C8" dT="2026-09-21T11:20:36.698" personId="{E24A061B-0655-4EC5-990A-233194B53C1F}" id="{F0AF9EA7-3E41-CCBE-C4F1-9C762070AE78}">
    <xltc:text>Source: https://www.zillow.com/home-values/18258/gatlinburg-tn/
Basis/date: 2026-08-31
Retrieved/reviewed September 21, 2026. Not a property-level quote.</xltc:text>
  </xltc:threadedComment>
  <xltc:threadedComment ref="C13" dT="2026-09-21T11:20:36.698" personId="{E24A061B-0655-4EC5-990A-233194B53C1F}" id="{3068EEA5-0C98-BD4B-AA5E-E583817DD5F3}">
    <xltc:text>Source: https://www.zillow.com/home-values/3788/branson-mo/
Basis/date: 2026-08-31
Retrieved/reviewed September 21, 2026. Not a property-level quote.</xltc:text>
  </xltc:threadedComment>
  <xltc:threadedComment ref="G13" dT="2026-09-21T11:20:36.698" personId="{E24A061B-0655-4EC5-990A-233194B53C1F}" id="{8829F95C-A76D-D354-53AC-1871E1D11FF9}">
    <xltc:text>Source: https://www.zillow.com/home-values/3788/branson-mo/
Basis/date: Zillow Observed Rent Index (ZORI) on housing-market page; not lease quote
Retrieved/reviewed September 21, 2026. Not a property-level quote.</xltc:text>
  </xltc:threadedComment>
  <xltc:threadedComment ref="C15" dT="2026-09-21T11:20:36.698" personId="{E24A061B-0655-4EC5-990A-233194B53C1F}" id="{AE9416D6-542C-1A96-0A97-0C9F0FE5E9FF}">
    <xltc:text>Source: https://www.zillow.com/home-values/18411/gulf-shores-al/
Basis/date: 2026-04-30
Retrieved/reviewed September 21, 2026. Not a property-level quote.</xltc:text>
  </xltc:threadedComment>
  <xltc:threadedComment ref="C16" dT="2026-09-21T11:20:36.698" personId="{E24A061B-0655-4EC5-990A-233194B53C1F}" id="{992E0E6F-2B2D-4D4A-9DFB-2E62B91F0ED6}">
    <xltc:text>Source: https://www.zillow.com/home-values/56112/orange-beach-al/
Basis/date: 2026-08-31
Retrieved/reviewed September 21, 2026. Not a property-level quote.</xltc:text>
  </xltc:threadedComment>
  <xltc:threadedComment ref="C17" dT="2026-09-21T11:20:36.698" personId="{E24A061B-0655-4EC5-990A-233194B53C1F}" id="{3C3F997C-9D37-D6A1-0F0D-9453C2D0F04D}">
    <xltc:text>Source: https://www.zillow.com/home-values/6391/panama-city%20beach-fl/
Basis/date: 2026-08-31
Retrieved/reviewed September 21, 2026. Not a property-level quote.</xltc:text>
  </xltc:threadedComment>
  <xltc:threadedComment ref="C18" dT="2026-09-21T11:20:36.698" personId="{E24A061B-0655-4EC5-990A-233194B53C1F}" id="{6DEB8075-92DD-17D1-D756-BD6FA18D0F76}">
    <xltc:text>Source: https://www.zillow.com/home-values/11102/destin-fl/
Basis/date: 2026-08-31
Retrieved/reviewed September 21, 2026. Not a property-level quote.</xltc:text>
  </xltc:threadedComment>
  <xltc:threadedComment ref="C21" dT="2026-09-21T11:20:36.698" personId="{E24A061B-0655-4EC5-990A-233194B53C1F}" id="{D50AE000-1DE0-5F92-6171-1CB37F310195}">
    <xltc:text>Source: https://www.zillow.com/home-values/18847/kissimmee-fl/
Basis/date: 2026-08-31
Retrieved/reviewed September 21, 2026. Not a property-level quote.</xltc:text>
  </xltc:threadedComment>
  <xltc:threadedComment ref="C22" dT="2026-09-21T11:20:36.698" personId="{E24A061B-0655-4EC5-990A-233194B53C1F}" id="{85A0EC2C-ECB5-F213-6274-6C7A2D4869FF}">
    <xltc:text>Source: https://www.zillow.com/home-values/24319/davenport-fl/
Basis/date: 2026-08-31
Retrieved/reviewed September 21, 2026. Not a property-level quote.</xltc:text>
  </xltc:threadedComment>
  <xltc:threadedComment ref="G22" dT="2026-09-21T11:20:36.698" personId="{E24A061B-0655-4EC5-990A-233194B53C1F}" id="{3EF008B3-4CFC-200A-8406-AAFBFD6AF2B6}">
    <xltc:text>Source: https://www.zillow.com/home-values/24319/davenport-fl/
Basis/date: Zillow Observed Rent Index (ZORI) on housing-market page; not lease quote
Retrieved/reviewed September 21, 2026. Not a property-level quote.</xltc:text>
  </xltc:threadedComment>
  <xltc:threadedComment ref="C64" dT="2026-09-21T11:20:36.699" personId="{E24A061B-0655-4EC5-990A-233194B53C1F}" id="{076F24B7-1DE6-C429-2D14-164029F17E28}">
    <xltc:text>Source: https://www.zillow.com/home-values/6915/san-antonio-tx/
Basis/date: 2026-07-31
Retrieved/reviewed September 21, 2026. Not a property-level quote.</xltc:text>
  </xltc:threadedComment>
  <xltc:threadedComment ref="G64" dT="2026-09-21T11:20:36.699" personId="{E24A061B-0655-4EC5-990A-233194B53C1F}" id="{2612A4B8-2DC8-48FE-DF35-EAF3279A92E2}">
    <xltc:text>Source: https://www.zillow.com/rental-manager/market-trends/san-antonio-tx/
Basis/date: Zillow Rentals average asking rent; all bedrooms/all property types
Retrieved/reviewed September 21, 2026. Not a property-level quote.</xltc:text>
  </xltc:threadedComment>
  <xltc:threadedComment ref="C69" dT="2026-09-21T11:20:36.699" personId="{E24A061B-0655-4EC5-990A-233194B53C1F}" id="{3CB568B5-1484-26F6-21AF-465EE441F551}">
    <xltc:text>Source: https://www.zillow.com/home-values/20859/tulsa-ok/
Basis/date: 2026-08-31
Retrieved/reviewed September 21, 2026. Not a property-level quote.</xltc:text>
  </xltc:threadedComment>
  <xltc:threadedComment ref="G69" dT="2026-09-21T11:20:36.699" personId="{E24A061B-0655-4EC5-990A-233194B53C1F}" id="{F1E3A148-CB2D-0C7D-BC68-D309C1BF2BD0}">
    <xltc:text>Source: https://www.zillow.com/rental-manager/market-trends/tulsa-ok/
Basis/date: Zillow Rentals average asking rent; all bedrooms/all property types
Retrieved/reviewed September 21, 2026. Not a property-level quote.</xltc:text>
  </xltc:threadedComment>
  <xltc:threadedComment ref="G72" dT="2026-09-21T11:20:36.699" personId="{E24A061B-0655-4EC5-990A-233194B53C1F}" id="{9FD6302E-7C2D-A4D7-249E-4BEBF6EAB02E}">
    <xltc:text>Source: https://www.zillow.com/rental-manager/market-trends/huntsville-al/
Basis/date: Zillow Rentals average asking rent; all bedrooms/all property types
Retrieved/reviewed September 21, 2026. Not a property-level quote.</xltc:text>
  </xltc:threadedComment>
  <xltc:threadedComment ref="C73" dT="2026-09-21T11:20:36.699" personId="{E24A061B-0655-4EC5-990A-233194B53C1F}" id="{EBD82EC8-564B-CA51-D7C8-49F98B77517F}">
    <xltc:text>Source: https://www.zillow.com/home-values/10417/birmingham-al/
Basis/date: 2026-08-31
Retrieved/reviewed September 21, 2026. Not a property-level quote.</xltc:text>
  </xltc:threadedComment>
  <xltc:threadedComment ref="G73" dT="2026-09-21T11:20:36.699" personId="{E24A061B-0655-4EC5-990A-233194B53C1F}" id="{A0B54690-44B7-973E-F55E-B803B080ADFC}">
    <xltc:text>Source: https://www.zillow.com/rental-manager/market-trends/birmingham-al/
Basis/date: Zillow Rentals average asking rent; all bedrooms/all property types
Retrieved/reviewed September 21, 2026. Not a property-level quote.</xltc:text>
  </xltc:threadedComment>
  <xltc:threadedComment ref="G74" dT="2026-09-21T11:20:36.699" personId="{E24A061B-0655-4EC5-990A-233194B53C1F}" id="{3A603020-E5E1-AF6B-CBF4-D845C6179489}">
    <xltc:text>Source: https://www.zillow.com/rental-manager/market-trends/montgomery-al/
Basis/date: Zillow Rentals average asking rent; all bedrooms/all property types
Retrieved/reviewed September 21, 2026. Not a property-level quote.</xltc:text>
  </xltc:threadedComment>
  <xltc:threadedComment ref="G75" dT="2026-09-21T11:20:36.699" personId="{E24A061B-0655-4EC5-990A-233194B53C1F}" id="{22D4FD6E-D02F-9AFB-8C1C-A23C4C88FB9F}">
    <xltc:text>Source: https://www.zillow.com/rental-manager/market-trends/louisville-ky/
Basis/date: Zillow Rentals average asking rent; all bedrooms/all property types
Retrieved/reviewed September 21, 2026. Not a property-level quote.</xltc:text>
  </xltc:threadedComment>
  <xltc:threadedComment ref="G76" dT="2026-09-21T11:20:36.699" personId="{E24A061B-0655-4EC5-990A-233194B53C1F}" id="{374FE213-1A17-7142-1503-5562068A0F44}">
    <xltc:text>Source: https://www.zillow.com/rental-manager/market-trends/lexington-ky/
Basis/date: Zillow Rentals average asking rent; all bedrooms/all property types
Retrieved/reviewed September 21, 2026. Not a property-level quote.</xltc:text>
  </xltc:threadedComment>
  <xltc:threadedComment ref="G77" dT="2026-09-21T11:20:36.699" personId="{E24A061B-0655-4EC5-990A-233194B53C1F}" id="{E7D0D073-40EA-29DD-B7B2-D5DBC9AB8E88}">
    <xltc:text>Source: https://www.zillow.com/rental-manager/market-trends/indianapolis-in/
Basis/date: Zillow Rentals average asking rent; all bedrooms/all property types
Retrieved/reviewed September 21, 2026. Not a property-level quote.</xltc:text>
  </xltc:threadedComment>
  <xltc:threadedComment ref="G78" dT="2026-09-21T11:20:36.699" personId="{E24A061B-0655-4EC5-990A-233194B53C1F}" id="{637FDED6-23D2-E64F-3503-614652D468B3}">
    <xltc:text>Source: https://www.zillow.com/rental-manager/market-trends/columbus-oh/
Basis/date: Zillow Rentals average asking rent; all bedrooms/all property types
Retrieved/reviewed September 21, 2026. Not a property-level quote.</xltc:text>
  </xltc:threadedComment>
  <xltc:threadedComment ref="G79" dT="2026-09-21T11:20:36.699" personId="{E24A061B-0655-4EC5-990A-233194B53C1F}" id="{6A79998F-7C32-7709-C70E-1E7412A56429}">
    <xltc:text>Source: https://www.zillow.com/rental-manager/market-trends/cleveland-oh/
Basis/date: Zillow Rentals average asking rent; all bedrooms/all property types
Retrieved/reviewed September 21, 2026. Not a property-level quote.</xltc:text>
  </xltc:threadedComment>
  <xltc:threadedComment ref="G80" dT="2026-09-21T11:20:36.699" personId="{E24A061B-0655-4EC5-990A-233194B53C1F}" id="{3C813EB6-212C-1133-EFCD-CED62EB1CF39}">
    <xltc:text>Source: https://www.zillow.com/rental-manager/market-trends/akron-oh/
Basis/date: Zillow Rentals average asking rent; all bedrooms/all property types
Retrieved/reviewed September 21, 2026. Not a property-level quote.</xltc:text>
  </xltc:threadedComment>
  <xltc:threadedComment ref="G81" dT="2026-09-21T11:20:36.699" personId="{E24A061B-0655-4EC5-990A-233194B53C1F}" id="{5A4A7B90-AE21-1850-0E19-CA2624BB32A3}">
    <xltc:text>Source: https://www.zillow.com/rental-manager/market-trends/pittsburgh-pa/
Basis/date: Zillow Rentals average asking rent; all bedrooms/all property types
Retrieved/reviewed September 21, 2026. Not a property-level quote.</xltc:text>
  </xltc:threadedComment>
  <xltc:threadedComment ref="G82" dT="2026-09-21T11:20:36.699" personId="{E24A061B-0655-4EC5-990A-233194B53C1F}" id="{9E9F917B-D7E3-0259-B711-F579F1BF0CF2}">
    <xltc:text>Source: https://www.zillow.com/rental-manager/market-trends/chattanooga-tn/
Basis/date: Zillow Rentals average asking rent; all bedrooms/all property types
Retrieved/reviewed September 21, 2026. Not a property-level quote.</xltc:text>
  </xltc:threadedComment>
  <xltc:threadedComment ref="C89" dT="2026-09-21T11:20:36.7" personId="{E24A061B-0655-4EC5-990A-233194B53C1F}" id="{D33C2D72-5790-0C92-2DA4-E693DD0D403C}">
    <xltc:text>Source: https://www.zillow.com/home-values/54346/scottsdale-az/
Basis/date: 2026-07-31
Retrieved/reviewed September 21, 2026. Not a property-level quote.</xltc:text>
  </xltc:threadedComment>
  <xltc:threadedComment ref="C91" dT="2026-09-21T11:20:36.7" personId="{E24A061B-0655-4EC5-990A-233194B53C1F}" id="{F6485042-C7BC-CB59-1E56-68FBDC660938}">
    <xltc:text>Source: https://www.zillow.com/home-values/35723/joshua-tree-ca/
Basis/date: 2026-08-31
Retrieved/reviewed September 21, 2026. Not a property-level quote.</xltc:text>
  </xltc:threadedComment>
  <xltc:threadedComment ref="C92" dT="2026-09-21T11:20:36.7" personId="{E24A061B-0655-4EC5-990A-233194B53C1F}" id="{7F28BB94-55DD-9A89-42A2-6D71C709A7B0}">
    <xltc:text>Source: https://www.zillow.com/home-values/44161/big-bear-lake-ca/
Basis/date: 2026-08-31
Retrieved/reviewed September 21, 2026. Not a property-level quote.</xltc:text>
  </xltc:threadedComment>
  <xltc:threadedComment ref="G92" dT="2026-09-21T11:20:36.7" personId="{E24A061B-0655-4EC5-990A-233194B53C1F}" id="{F688972B-A41E-B577-0280-7D701EBCA54B}">
    <xltc:text>Source: https://www.zillow.com/home-values/44161/big-bear-lake-ca/
Basis/date: Zillow Observed Rent Index (ZORI) on housing-market page; not lease quote
Retrieved/reviewed September 21, 2026. Not a property-level quote.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5e70b49002c9451d" /><Relationship Type="http://schemas.openxmlformats.org/officeDocument/2006/relationships/vmlDrawing" Target="/xl/drawings/vmldrawing.vml" Id="R7d0b9a4035fa4171" /><Relationship Type="http://schemas.microsoft.com/office/2017/10/relationships/threadedComment" Target="/xl/threadedcomments/threadedcomment.xml" Id="R833b733f32164ec9" /><Relationship Type="http://schemas.openxmlformats.org/officeDocument/2006/relationships/table" Target="/xl/tables/table1.xml" Id="Ra713f754d5274e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e4af0eed66f43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2.xml" Id="Rf5a3513302734b48" /><Relationship Type="http://schemas.openxmlformats.org/officeDocument/2006/relationships/vmlDrawing" Target="/xl/drawings/vmldrawing2.vml" Id="R27c2ad3aa59b4b01" /><Relationship Type="http://schemas.microsoft.com/office/2017/10/relationships/threadedComment" Target="/xl/threadedcomments/threadedcomment2.xml" Id="R1119e74bbeb145f3" /><Relationship Type="http://schemas.openxmlformats.org/officeDocument/2006/relationships/table" Target="/xl/tables/table3.xml" Id="R84d66e11b62a43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dca25c31f2e42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e493c4d221b422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785b2c70e2a4e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5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28" customHeight="1">
      <x:c r="A1" s="80" t="str">
        <x:v>100 U.S. STR MARKETS | Research edition</x:v>
      </x:c>
      <x:c r="B1" s="80" t="str">
        <x:v>100 U.S. STR MARKETS | Research edition</x:v>
      </x:c>
      <x:c r="C1" s="80" t="str">
        <x:v>100 U.S. STR MARKETS | Research edition</x:v>
      </x:c>
      <x:c r="D1" s="80" t="str">
        <x:v>100 U.S. STR MARKETS | Research edition</x:v>
      </x:c>
      <x:c r="E1" s="80" t="str">
        <x:v>100 U.S. STR MARKETS | Research edition</x:v>
      </x:c>
      <x:c r="F1" s="80" t="str">
        <x:v>100 U.S. STR MARKETS | Research edition</x:v>
      </x:c>
      <x:c r="G1" s="80" t="str">
        <x:v>100 U.S. STR MARKETS | Research edition</x:v>
      </x:c>
    </x:row>
    <x:row r="2" ht="24" customHeight="1">
      <x:c r="A2" s="80" t="str">
        <x:v>100 U.S. STR MARKETS | Research edition</x:v>
      </x:c>
      <x:c r="B2" s="80" t="str">
        <x:v>100 U.S. STR MARKETS | Research edition</x:v>
      </x:c>
      <x:c r="C2" s="80" t="str">
        <x:v>100 U.S. STR MARKETS | Research edition</x:v>
      </x:c>
      <x:c r="D2" s="80" t="str">
        <x:v>100 U.S. STR MARKETS | Research edition</x:v>
      </x:c>
      <x:c r="E2" s="80" t="str">
        <x:v>100 U.S. STR MARKETS | Research edition</x:v>
      </x:c>
      <x:c r="F2" s="80" t="str">
        <x:v>100 U.S. STR MARKETS | Research edition</x:v>
      </x:c>
      <x:c r="G2" s="80" t="str">
        <x:v>100 U.S. STR MARKETS | Research edition</x:v>
      </x:c>
    </x:row>
    <x:row r="3" ht="27" customHeight="1">
      <x:c r="A3" s="81" t="str">
        <x:v>September 21, 2026 • A diversified research shortlist, not a universal best-market ranking. Positions are reference IDs, not projected returns.</x:v>
      </x:c>
      <x:c r="B3" s="81" t="str">
        <x:v>September 21, 2026 • A diversified research shortlist, not a universal best-market ranking. Positions are reference IDs, not projected returns.</x:v>
      </x:c>
      <x:c r="C3" s="81" t="str">
        <x:v>September 21, 2026 • A diversified research shortlist, not a universal best-market ranking. Positions are reference IDs, not projected returns.</x:v>
      </x:c>
      <x:c r="D3" s="81" t="str">
        <x:v>September 21, 2026 • A diversified research shortlist, not a universal best-market ranking. Positions are reference IDs, not projected returns.</x:v>
      </x:c>
      <x:c r="E3" s="81" t="str">
        <x:v>September 21, 2026 • A diversified research shortlist, not a universal best-market ranking. Positions are reference IDs, not projected returns.</x:v>
      </x:c>
      <x:c r="F3" s="81" t="str">
        <x:v>September 21, 2026 • A diversified research shortlist, not a universal best-market ranking. Positions are reference IDs, not projected returns.</x:v>
      </x:c>
      <x:c r="G3" s="81" t="str">
        <x:v>September 21, 2026 • A diversified research shortlist, not a universal best-market ranking. Positions are reference IDs, not projected returns.</x:v>
      </x:c>
    </x:row>
    <x:row r="4" ht="27" customHeight="1">
      <x:c r="A4" s="81" t="str">
        <x:v>September 21, 2026 • A diversified research shortlist, not a universal best-market ranking. Positions are reference IDs, not projected returns.</x:v>
      </x:c>
      <x:c r="B4" s="81" t="str">
        <x:v>September 21, 2026 • A diversified research shortlist, not a universal best-market ranking. Positions are reference IDs, not projected returns.</x:v>
      </x:c>
      <x:c r="C4" s="81" t="str">
        <x:v>September 21, 2026 • A diversified research shortlist, not a universal best-market ranking. Positions are reference IDs, not projected returns.</x:v>
      </x:c>
      <x:c r="D4" s="81" t="str">
        <x:v>September 21, 2026 • A diversified research shortlist, not a universal best-market ranking. Positions are reference IDs, not projected returns.</x:v>
      </x:c>
      <x:c r="E4" s="81" t="str">
        <x:v>September 21, 2026 • A diversified research shortlist, not a universal best-market ranking. Positions are reference IDs, not projected returns.</x:v>
      </x:c>
      <x:c r="F4" s="81" t="str">
        <x:v>September 21, 2026 • A diversified research shortlist, not a universal best-market ranking. Positions are reference IDs, not projected returns.</x:v>
      </x:c>
      <x:c r="G4" s="81" t="str">
        <x:v>September 21, 2026 • A diversified research shortlist, not a universal best-market ranking. Positions are reference IDs, not projected returns.</x:v>
      </x:c>
    </x:row>
    <x:row r="5" ht="27" customHeight="1">
      <x:c r="A5" s="78"/>
      <x:c r="B5" s="78"/>
      <x:c r="C5" s="78"/>
      <x:c r="D5" s="78"/>
      <x:c r="E5" s="78"/>
      <x:c r="F5" s="78"/>
      <x:c r="G5" s="78"/>
    </x:row>
    <x:row r="6" ht="27" customHeight="1">
      <x:c r="A6" s="98" t="str">
        <x:v>START WITH PERMISSION
Then match revenue comps, quote costs and run a deal.</x:v>
      </x:c>
      <x:c r="B6" s="98" t="str">
        <x:v>START WITH PERMISSION
Then match revenue comps, quote costs and run a deal.</x:v>
      </x:c>
      <x:c r="C6" s="98" t="str">
        <x:v>START WITH PERMISSION
Then match revenue comps, quote costs and run a deal.</x:v>
      </x:c>
      <x:c r="D6" s="78"/>
      <x:c r="E6" s="99" t="str">
        <x:v>NO MARKET IS AUTOMATICALLY CLEARED
A vendor listing or score is not legal permission.</x:v>
      </x:c>
      <x:c r="F6" s="99" t="str">
        <x:v>NO MARKET IS AUTOMATICALLY CLEARED
A vendor listing or score is not legal permission.</x:v>
      </x:c>
      <x:c r="G6" s="99" t="str">
        <x:v>NO MARKET IS AUTOMATICALLY CLEARED
A vendor listing or score is not legal permission.</x:v>
      </x:c>
    </x:row>
    <x:row r="7" ht="27" customHeight="1">
      <x:c r="A7" s="98" t="str">
        <x:v>START WITH PERMISSION
Then match revenue comps, quote costs and run a deal.</x:v>
      </x:c>
      <x:c r="B7" s="98" t="str">
        <x:v>START WITH PERMISSION
Then match revenue comps, quote costs and run a deal.</x:v>
      </x:c>
      <x:c r="C7" s="98" t="str">
        <x:v>START WITH PERMISSION
Then match revenue comps, quote costs and run a deal.</x:v>
      </x:c>
      <x:c r="D7" s="78"/>
      <x:c r="E7" s="99" t="str">
        <x:v>NO MARKET IS AUTOMATICALLY CLEARED
A vendor listing or score is not legal permission.</x:v>
      </x:c>
      <x:c r="F7" s="99" t="str">
        <x:v>NO MARKET IS AUTOMATICALLY CLEARED
A vendor listing or score is not legal permission.</x:v>
      </x:c>
      <x:c r="G7" s="99" t="str">
        <x:v>NO MARKET IS AUTOMATICALLY CLEARED
A vendor listing or score is not legal permission.</x:v>
      </x:c>
    </x:row>
    <x:row r="8" ht="27" customHeight="1">
      <x:c r="A8" s="98" t="str">
        <x:v>START WITH PERMISSION
Then match revenue comps, quote costs and run a deal.</x:v>
      </x:c>
      <x:c r="B8" s="98" t="str">
        <x:v>START WITH PERMISSION
Then match revenue comps, quote costs and run a deal.</x:v>
      </x:c>
      <x:c r="C8" s="98" t="str">
        <x:v>START WITH PERMISSION
Then match revenue comps, quote costs and run a deal.</x:v>
      </x:c>
      <x:c r="D8" s="78"/>
      <x:c r="E8" s="99" t="str">
        <x:v>NO MARKET IS AUTOMATICALLY CLEARED
A vendor listing or score is not legal permission.</x:v>
      </x:c>
      <x:c r="F8" s="99" t="str">
        <x:v>NO MARKET IS AUTOMATICALLY CLEARED
A vendor listing or score is not legal permission.</x:v>
      </x:c>
      <x:c r="G8" s="99" t="str">
        <x:v>NO MARKET IS AUTOMATICALLY CLEARED
A vendor listing or score is not legal permission.</x:v>
      </x:c>
    </x:row>
    <x:row r="9" ht="27" customHeight="1">
      <x:c r="A9" s="78"/>
      <x:c r="B9" s="78"/>
      <x:c r="C9" s="78"/>
      <x:c r="D9" s="78"/>
      <x:c r="E9" s="78"/>
      <x:c r="F9" s="78"/>
      <x:c r="G9" s="78"/>
    </x:row>
    <x:row r="10" ht="27" customHeight="1">
      <x:c r="A10" s="78"/>
      <x:c r="B10" s="78"/>
      <x:c r="C10" s="78"/>
      <x:c r="D10" s="78"/>
      <x:c r="E10" s="78"/>
      <x:c r="F10" s="78"/>
      <x:c r="G10" s="78"/>
    </x:row>
    <x:row r="11" ht="27" customHeight="1">
      <x:c r="A11" s="101" t="str">
        <x:v>01 | Read the tabs</x:v>
      </x:c>
      <x:c r="B11" s="101" t="str">
        <x:v>01 | Read the tabs</x:v>
      </x:c>
      <x:c r="C11" s="101" t="str">
        <x:v>01 | Read the tabs</x:v>
      </x:c>
      <x:c r="D11" s="101" t="str">
        <x:v>01 | Read the tabs</x:v>
      </x:c>
      <x:c r="E11" s="101" t="str">
        <x:v>01 | Read the tabs</x:v>
      </x:c>
      <x:c r="F11" s="101" t="str">
        <x:v>01 | Read the tabs</x:v>
      </x:c>
      <x:c r="G11" s="101" t="str">
        <x:v>01 | Read the tabs</x:v>
      </x:c>
    </x:row>
    <x:row r="12" ht="26" customHeight="1">
      <x:c r="A12" s="78" t="str">
        <x:v>100 Markets is the performance screen. Research Theses contains analyst hypotheses, not verified visitor-demand statistics. Cost Benchmarks, Regulation and Source Register retain source scope and gaps.</x:v>
      </x:c>
      <x:c r="B12" s="78" t="str">
        <x:v>100 Markets is the performance screen. Research Theses contains analyst hypotheses, not verified visitor-demand statistics. Cost Benchmarks, Regulation and Source Register retain source scope and gaps.</x:v>
      </x:c>
      <x:c r="C12" s="78" t="str">
        <x:v>100 Markets is the performance screen. Research Theses contains analyst hypotheses, not verified visitor-demand statistics. Cost Benchmarks, Regulation and Source Register retain source scope and gaps.</x:v>
      </x:c>
      <x:c r="D12" s="78" t="str">
        <x:v>100 Markets is the performance screen. Research Theses contains analyst hypotheses, not verified visitor-demand statistics. Cost Benchmarks, Regulation and Source Register retain source scope and gaps.</x:v>
      </x:c>
      <x:c r="E12" s="78" t="str">
        <x:v>100 Markets is the performance screen. Research Theses contains analyst hypotheses, not verified visitor-demand statistics. Cost Benchmarks, Regulation and Source Register retain source scope and gaps.</x:v>
      </x:c>
      <x:c r="F12" s="78" t="str">
        <x:v>100 Markets is the performance screen. Research Theses contains analyst hypotheses, not verified visitor-demand statistics. Cost Benchmarks, Regulation and Source Register retain source scope and gaps.</x:v>
      </x:c>
      <x:c r="G12" s="78" t="str">
        <x:v>100 Markets is the performance screen. Research Theses contains analyst hypotheses, not verified visitor-demand statistics. Cost Benchmarks, Regulation and Source Register retain source scope and gaps.</x:v>
      </x:c>
    </x:row>
    <x:row r="13" ht="26" customHeight="1">
      <x:c r="A13" s="78" t="str">
        <x:v>100 Markets is the performance screen. Research Theses contains analyst hypotheses, not verified visitor-demand statistics. Cost Benchmarks, Regulation and Source Register retain source scope and gaps.</x:v>
      </x:c>
      <x:c r="B13" s="78" t="str">
        <x:v>100 Markets is the performance screen. Research Theses contains analyst hypotheses, not verified visitor-demand statistics. Cost Benchmarks, Regulation and Source Register retain source scope and gaps.</x:v>
      </x:c>
      <x:c r="C13" s="78" t="str">
        <x:v>100 Markets is the performance screen. Research Theses contains analyst hypotheses, not verified visitor-demand statistics. Cost Benchmarks, Regulation and Source Register retain source scope and gaps.</x:v>
      </x:c>
      <x:c r="D13" s="78" t="str">
        <x:v>100 Markets is the performance screen. Research Theses contains analyst hypotheses, not verified visitor-demand statistics. Cost Benchmarks, Regulation and Source Register retain source scope and gaps.</x:v>
      </x:c>
      <x:c r="E13" s="78" t="str">
        <x:v>100 Markets is the performance screen. Research Theses contains analyst hypotheses, not verified visitor-demand statistics. Cost Benchmarks, Regulation and Source Register retain source scope and gaps.</x:v>
      </x:c>
      <x:c r="F13" s="78" t="str">
        <x:v>100 Markets is the performance screen. Research Theses contains analyst hypotheses, not verified visitor-demand statistics. Cost Benchmarks, Regulation and Source Register retain source scope and gaps.</x:v>
      </x:c>
      <x:c r="G13" s="78" t="str">
        <x:v>100 Markets is the performance screen. Research Theses contains analyst hypotheses, not verified visitor-demand statistics. Cost Benchmarks, Regulation and Source Register retain source scope and gaps.</x:v>
      </x:c>
    </x:row>
    <x:row r="14" ht="27" customHeight="1">
      <x:c r="A14" s="78"/>
      <x:c r="B14" s="78"/>
      <x:c r="C14" s="78"/>
      <x:c r="D14" s="78"/>
      <x:c r="E14" s="78"/>
      <x:c r="F14" s="78"/>
      <x:c r="G14" s="78"/>
    </x:row>
    <x:row r="15" ht="27" customHeight="1">
      <x:c r="A15" s="101" t="str">
        <x:v>02 | Understand the sample</x:v>
      </x:c>
      <x:c r="B15" s="101" t="str">
        <x:v>02 | Understand the sample</x:v>
      </x:c>
      <x:c r="C15" s="101" t="str">
        <x:v>02 | Understand the sample</x:v>
      </x:c>
      <x:c r="D15" s="101" t="str">
        <x:v>02 | Understand the sample</x:v>
      </x:c>
      <x:c r="E15" s="101" t="str">
        <x:v>02 | Understand the sample</x:v>
      </x:c>
      <x:c r="F15" s="101" t="str">
        <x:v>02 | Understand the sample</x:v>
      </x:c>
      <x:c r="G15" s="101" t="str">
        <x:v>02 | Understand the sample</x:v>
      </x:c>
    </x:row>
    <x:row r="16" ht="26" customHeight="1">
      <x:c r="A16" s="78" t="str">
        <x:v>100 curated candidate locations span vacation, mountain, beach, lake, gateway, urban, university and project-driven niches. Some restricted markets are included to illustrate specialist legal pathways—not as easy-entry recommendations.</x:v>
      </x:c>
      <x:c r="B16" s="78" t="str">
        <x:v>100 curated candidate locations span vacation, mountain, beach, lake, gateway, urban, university and project-driven niches. Some restricted markets are included to illustrate specialist legal pathways—not as easy-entry recommendations.</x:v>
      </x:c>
      <x:c r="C16" s="78" t="str">
        <x:v>100 curated candidate locations span vacation, mountain, beach, lake, gateway, urban, university and project-driven niches. Some restricted markets are included to illustrate specialist legal pathways—not as easy-entry recommendations.</x:v>
      </x:c>
      <x:c r="D16" s="78" t="str">
        <x:v>100 curated candidate locations span vacation, mountain, beach, lake, gateway, urban, university and project-driven niches. Some restricted markets are included to illustrate specialist legal pathways—not as easy-entry recommendations.</x:v>
      </x:c>
      <x:c r="E16" s="78" t="str">
        <x:v>100 curated candidate locations span vacation, mountain, beach, lake, gateway, urban, university and project-driven niches. Some restricted markets are included to illustrate specialist legal pathways—not as easy-entry recommendations.</x:v>
      </x:c>
      <x:c r="F16" s="78" t="str">
        <x:v>100 curated candidate locations span vacation, mountain, beach, lake, gateway, urban, university and project-driven niches. Some restricted markets are included to illustrate specialist legal pathways—not as easy-entry recommendations.</x:v>
      </x:c>
      <x:c r="G16" s="78" t="str">
        <x:v>100 curated candidate locations span vacation, mountain, beach, lake, gateway, urban, university and project-driven niches. Some restricted markets are included to illustrate specialist legal pathways—not as easy-entry recommendations.</x:v>
      </x:c>
    </x:row>
    <x:row r="17" ht="26" customHeight="1">
      <x:c r="A17" s="78" t="str">
        <x:v>100 curated candidate locations span vacation, mountain, beach, lake, gateway, urban, university and project-driven niches. Some restricted markets are included to illustrate specialist legal pathways—not as easy-entry recommendations.</x:v>
      </x:c>
      <x:c r="B17" s="78" t="str">
        <x:v>100 curated candidate locations span vacation, mountain, beach, lake, gateway, urban, university and project-driven niches. Some restricted markets are included to illustrate specialist legal pathways—not as easy-entry recommendations.</x:v>
      </x:c>
      <x:c r="C17" s="78" t="str">
        <x:v>100 curated candidate locations span vacation, mountain, beach, lake, gateway, urban, university and project-driven niches. Some restricted markets are included to illustrate specialist legal pathways—not as easy-entry recommendations.</x:v>
      </x:c>
      <x:c r="D17" s="78" t="str">
        <x:v>100 curated candidate locations span vacation, mountain, beach, lake, gateway, urban, university and project-driven niches. Some restricted markets are included to illustrate specialist legal pathways—not as easy-entry recommendations.</x:v>
      </x:c>
      <x:c r="E17" s="78" t="str">
        <x:v>100 curated candidate locations span vacation, mountain, beach, lake, gateway, urban, university and project-driven niches. Some restricted markets are included to illustrate specialist legal pathways—not as easy-entry recommendations.</x:v>
      </x:c>
      <x:c r="F17" s="78" t="str">
        <x:v>100 curated candidate locations span vacation, mountain, beach, lake, gateway, urban, university and project-driven niches. Some restricted markets are included to illustrate specialist legal pathways—not as easy-entry recommendations.</x:v>
      </x:c>
      <x:c r="G17" s="78" t="str">
        <x:v>100 curated candidate locations span vacation, mountain, beach, lake, gateway, urban, university and project-driven niches. Some restricted markets are included to illustrate specialist legal pathways—not as easy-entry recommendations.</x:v>
      </x:c>
    </x:row>
    <x:row r="18" ht="27" customHeight="1">
      <x:c r="A18" s="78"/>
      <x:c r="B18" s="78"/>
      <x:c r="C18" s="78"/>
      <x:c r="D18" s="78"/>
      <x:c r="E18" s="78"/>
      <x:c r="F18" s="78"/>
      <x:c r="G18" s="78"/>
    </x:row>
    <x:row r="19" ht="27" customHeight="1">
      <x:c r="A19" s="101" t="str">
        <x:v>03 | What the metrics mean</x:v>
      </x:c>
      <x:c r="B19" s="101" t="str">
        <x:v>03 | What the metrics mean</x:v>
      </x:c>
      <x:c r="C19" s="101" t="str">
        <x:v>03 | What the metrics mean</x:v>
      </x:c>
      <x:c r="D19" s="101" t="str">
        <x:v>03 | What the metrics mean</x:v>
      </x:c>
      <x:c r="E19" s="101" t="str">
        <x:v>03 | What the metrics mean</x:v>
      </x:c>
      <x:c r="F19" s="101" t="str">
        <x:v>03 | What the metrics mean</x:v>
      </x:c>
      <x:c r="G19" s="101" t="str">
        <x:v>03 | What the metrics mean</x:v>
      </x:c>
    </x:row>
    <x:row r="20" ht="26" customHeight="1">
      <x:c r="A20" s="78" t="str">
        <x:v>ADR and occupancy are vendor market averages. AirDNA occupancy is booked nights divided by available nights, not all 365 calendar nights. Revenue is the provider's reported annual average—not a property forecast.</x:v>
      </x:c>
      <x:c r="B20" s="78" t="str">
        <x:v>ADR and occupancy are vendor market averages. AirDNA occupancy is booked nights divided by available nights, not all 365 calendar nights. Revenue is the provider's reported annual average—not a property forecast.</x:v>
      </x:c>
      <x:c r="C20" s="78" t="str">
        <x:v>ADR and occupancy are vendor market averages. AirDNA occupancy is booked nights divided by available nights, not all 365 calendar nights. Revenue is the provider's reported annual average—not a property forecast.</x:v>
      </x:c>
      <x:c r="D20" s="78" t="str">
        <x:v>ADR and occupancy are vendor market averages. AirDNA occupancy is booked nights divided by available nights, not all 365 calendar nights. Revenue is the provider's reported annual average—not a property forecast.</x:v>
      </x:c>
      <x:c r="E20" s="78" t="str">
        <x:v>ADR and occupancy are vendor market averages. AirDNA occupancy is booked nights divided by available nights, not all 365 calendar nights. Revenue is the provider's reported annual average—not a property forecast.</x:v>
      </x:c>
      <x:c r="F20" s="78" t="str">
        <x:v>ADR and occupancy are vendor market averages. AirDNA occupancy is booked nights divided by available nights, not all 365 calendar nights. Revenue is the provider's reported annual average—not a property forecast.</x:v>
      </x:c>
      <x:c r="G20" s="78" t="str">
        <x:v>ADR and occupancy are vendor market averages. AirDNA occupancy is booked nights divided by available nights, not all 365 calendar nights. Revenue is the provider's reported annual average—not a property forecast.</x:v>
      </x:c>
    </x:row>
    <x:row r="21" ht="26" customHeight="1">
      <x:c r="A21" s="78" t="str">
        <x:v>ADR and occupancy are vendor market averages. AirDNA occupancy is booked nights divided by available nights, not all 365 calendar nights. Revenue is the provider's reported annual average—not a property forecast.</x:v>
      </x:c>
      <x:c r="B21" s="78" t="str">
        <x:v>ADR and occupancy are vendor market averages. AirDNA occupancy is booked nights divided by available nights, not all 365 calendar nights. Revenue is the provider's reported annual average—not a property forecast.</x:v>
      </x:c>
      <x:c r="C21" s="78" t="str">
        <x:v>ADR and occupancy are vendor market averages. AirDNA occupancy is booked nights divided by available nights, not all 365 calendar nights. Revenue is the provider's reported annual average—not a property forecast.</x:v>
      </x:c>
      <x:c r="D21" s="78" t="str">
        <x:v>ADR and occupancy are vendor market averages. AirDNA occupancy is booked nights divided by available nights, not all 365 calendar nights. Revenue is the provider's reported annual average—not a property forecast.</x:v>
      </x:c>
      <x:c r="E21" s="78" t="str">
        <x:v>ADR and occupancy are vendor market averages. AirDNA occupancy is booked nights divided by available nights, not all 365 calendar nights. Revenue is the provider's reported annual average—not a property forecast.</x:v>
      </x:c>
      <x:c r="F21" s="78" t="str">
        <x:v>ADR and occupancy are vendor market averages. AirDNA occupancy is booked nights divided by available nights, not all 365 calendar nights. Revenue is the provider's reported annual average—not a property forecast.</x:v>
      </x:c>
      <x:c r="G21" s="78" t="str">
        <x:v>ADR and occupancy are vendor market averages. AirDNA occupancy is booked nights divided by available nights, not all 365 calendar nights. Revenue is the provider's reported annual average—not a property forecast.</x:v>
      </x:c>
    </x:row>
    <x:row r="22" ht="27" customHeight="1">
      <x:c r="A22" s="78"/>
      <x:c r="B22" s="78"/>
      <x:c r="C22" s="78"/>
      <x:c r="D22" s="78"/>
      <x:c r="E22" s="78"/>
      <x:c r="F22" s="78"/>
      <x:c r="G22" s="78"/>
    </x:row>
    <x:row r="23" ht="27" customHeight="1">
      <x:c r="A23" s="101" t="str">
        <x:v>04 | Do not multiply blindly</x:v>
      </x:c>
      <x:c r="B23" s="101" t="str">
        <x:v>04 | Do not multiply blindly</x:v>
      </x:c>
      <x:c r="C23" s="101" t="str">
        <x:v>04 | Do not multiply blindly</x:v>
      </x:c>
      <x:c r="D23" s="101" t="str">
        <x:v>04 | Do not multiply blindly</x:v>
      </x:c>
      <x:c r="E23" s="101" t="str">
        <x:v>04 | Do not multiply blindly</x:v>
      </x:c>
      <x:c r="F23" s="101" t="str">
        <x:v>04 | Do not multiply blindly</x:v>
      </x:c>
      <x:c r="G23" s="101" t="str">
        <x:v>04 | Do not multiply blindly</x:v>
      </x:c>
    </x:row>
    <x:row r="24" ht="26" customHeight="1">
      <x:c r="A24" s="78" t="str">
        <x:v>ADR × occupancy × 365 is not substituted for annual revenue. Averages may use different listing weights, availability and fee definitions. Vendor RevPAR is preserved separately from the simple ADR × occupancy proxy.</x:v>
      </x:c>
      <x:c r="B24" s="78" t="str">
        <x:v>ADR × occupancy × 365 is not substituted for annual revenue. Averages may use different listing weights, availability and fee definitions. Vendor RevPAR is preserved separately from the simple ADR × occupancy proxy.</x:v>
      </x:c>
      <x:c r="C24" s="78" t="str">
        <x:v>ADR × occupancy × 365 is not substituted for annual revenue. Averages may use different listing weights, availability and fee definitions. Vendor RevPAR is preserved separately from the simple ADR × occupancy proxy.</x:v>
      </x:c>
      <x:c r="D24" s="78" t="str">
        <x:v>ADR × occupancy × 365 is not substituted for annual revenue. Averages may use different listing weights, availability and fee definitions. Vendor RevPAR is preserved separately from the simple ADR × occupancy proxy.</x:v>
      </x:c>
      <x:c r="E24" s="78" t="str">
        <x:v>ADR × occupancy × 365 is not substituted for annual revenue. Averages may use different listing weights, availability and fee definitions. Vendor RevPAR is preserved separately from the simple ADR × occupancy proxy.</x:v>
      </x:c>
      <x:c r="F24" s="78" t="str">
        <x:v>ADR × occupancy × 365 is not substituted for annual revenue. Averages may use different listing weights, availability and fee definitions. Vendor RevPAR is preserved separately from the simple ADR × occupancy proxy.</x:v>
      </x:c>
      <x:c r="G24" s="78" t="str">
        <x:v>ADR × occupancy × 365 is not substituted for annual revenue. Averages may use different listing weights, availability and fee definitions. Vendor RevPAR is preserved separately from the simple ADR × occupancy proxy.</x:v>
      </x:c>
    </x:row>
    <x:row r="25" ht="26" customHeight="1">
      <x:c r="A25" s="78" t="str">
        <x:v>ADR × occupancy × 365 is not substituted for annual revenue. Averages may use different listing weights, availability and fee definitions. Vendor RevPAR is preserved separately from the simple ADR × occupancy proxy.</x:v>
      </x:c>
      <x:c r="B25" s="78" t="str">
        <x:v>ADR × occupancy × 365 is not substituted for annual revenue. Averages may use different listing weights, availability and fee definitions. Vendor RevPAR is preserved separately from the simple ADR × occupancy proxy.</x:v>
      </x:c>
      <x:c r="C25" s="78" t="str">
        <x:v>ADR × occupancy × 365 is not substituted for annual revenue. Averages may use different listing weights, availability and fee definitions. Vendor RevPAR is preserved separately from the simple ADR × occupancy proxy.</x:v>
      </x:c>
      <x:c r="D25" s="78" t="str">
        <x:v>ADR × occupancy × 365 is not substituted for annual revenue. Averages may use different listing weights, availability and fee definitions. Vendor RevPAR is preserved separately from the simple ADR × occupancy proxy.</x:v>
      </x:c>
      <x:c r="E25" s="78" t="str">
        <x:v>ADR × occupancy × 365 is not substituted for annual revenue. Averages may use different listing weights, availability and fee definitions. Vendor RevPAR is preserved separately from the simple ADR × occupancy proxy.</x:v>
      </x:c>
      <x:c r="F25" s="78" t="str">
        <x:v>ADR × occupancy × 365 is not substituted for annual revenue. Averages may use different listing weights, availability and fee definitions. Vendor RevPAR is preserved separately from the simple ADR × occupancy proxy.</x:v>
      </x:c>
      <x:c r="G25" s="78" t="str">
        <x:v>ADR × occupancy × 365 is not substituted for annual revenue. Averages may use different listing weights, availability and fee definitions. Vendor RevPAR is preserved separately from the simple ADR × occupancy proxy.</x:v>
      </x:c>
    </x:row>
    <x:row r="26" ht="27" customHeight="1">
      <x:c r="A26" s="78"/>
      <x:c r="B26" s="78"/>
      <x:c r="C26" s="78"/>
      <x:c r="D26" s="78"/>
      <x:c r="E26" s="78"/>
      <x:c r="F26" s="78"/>
      <x:c r="G26" s="78"/>
    </x:row>
    <x:row r="27" ht="27" customHeight="1">
      <x:c r="A27" s="101" t="str">
        <x:v>05 | Dates are not interchangeable</x:v>
      </x:c>
      <x:c r="B27" s="101" t="str">
        <x:v>05 | Dates are not interchangeable</x:v>
      </x:c>
      <x:c r="C27" s="101" t="str">
        <x:v>05 | Dates are not interchangeable</x:v>
      </x:c>
      <x:c r="D27" s="101" t="str">
        <x:v>05 | Dates are not interchangeable</x:v>
      </x:c>
      <x:c r="E27" s="101" t="str">
        <x:v>05 | Dates are not interchangeable</x:v>
      </x:c>
      <x:c r="F27" s="101" t="str">
        <x:v>05 | Dates are not interchangeable</x:v>
      </x:c>
      <x:c r="G27" s="101" t="str">
        <x:v>05 | Dates are not interchangeable</x:v>
      </x:c>
    </x:row>
    <x:row r="28" ht="26" customHeight="1">
      <x:c r="A28" s="78" t="str">
        <x:v>Research was performed on September 21, 2026. Each source has its own observation period/update date. Undated snapshots and older observations require refresh. Data are not live-linked.</x:v>
      </x:c>
      <x:c r="B28" s="78" t="str">
        <x:v>Research was performed on September 21, 2026. Each source has its own observation period/update date. Undated snapshots and older observations require refresh. Data are not live-linked.</x:v>
      </x:c>
      <x:c r="C28" s="78" t="str">
        <x:v>Research was performed on September 21, 2026. Each source has its own observation period/update date. Undated snapshots and older observations require refresh. Data are not live-linked.</x:v>
      </x:c>
      <x:c r="D28" s="78" t="str">
        <x:v>Research was performed on September 21, 2026. Each source has its own observation period/update date. Undated snapshots and older observations require refresh. Data are not live-linked.</x:v>
      </x:c>
      <x:c r="E28" s="78" t="str">
        <x:v>Research was performed on September 21, 2026. Each source has its own observation period/update date. Undated snapshots and older observations require refresh. Data are not live-linked.</x:v>
      </x:c>
      <x:c r="F28" s="78" t="str">
        <x:v>Research was performed on September 21, 2026. Each source has its own observation period/update date. Undated snapshots and older observations require refresh. Data are not live-linked.</x:v>
      </x:c>
      <x:c r="G28" s="78" t="str">
        <x:v>Research was performed on September 21, 2026. Each source has its own observation period/update date. Undated snapshots and older observations require refresh. Data are not live-linked.</x:v>
      </x:c>
    </x:row>
    <x:row r="29" ht="26" customHeight="1">
      <x:c r="A29" s="78" t="str">
        <x:v>Research was performed on September 21, 2026. Each source has its own observation period/update date. Undated snapshots and older observations require refresh. Data are not live-linked.</x:v>
      </x:c>
      <x:c r="B29" s="78" t="str">
        <x:v>Research was performed on September 21, 2026. Each source has its own observation period/update date. Undated snapshots and older observations require refresh. Data are not live-linked.</x:v>
      </x:c>
      <x:c r="C29" s="78" t="str">
        <x:v>Research was performed on September 21, 2026. Each source has its own observation period/update date. Undated snapshots and older observations require refresh. Data are not live-linked.</x:v>
      </x:c>
      <x:c r="D29" s="78" t="str">
        <x:v>Research was performed on September 21, 2026. Each source has its own observation period/update date. Undated snapshots and older observations require refresh. Data are not live-linked.</x:v>
      </x:c>
      <x:c r="E29" s="78" t="str">
        <x:v>Research was performed on September 21, 2026. Each source has its own observation period/update date. Undated snapshots and older observations require refresh. Data are not live-linked.</x:v>
      </x:c>
      <x:c r="F29" s="78" t="str">
        <x:v>Research was performed on September 21, 2026. Each source has its own observation period/update date. Undated snapshots and older observations require refresh. Data are not live-linked.</x:v>
      </x:c>
      <x:c r="G29" s="78" t="str">
        <x:v>Research was performed on September 21, 2026. Each source has its own observation period/update date. Undated snapshots and older observations require refresh. Data are not live-linked.</x:v>
      </x:c>
    </x:row>
    <x:row r="30" ht="27" customHeight="1">
      <x:c r="A30" s="78"/>
      <x:c r="B30" s="78"/>
      <x:c r="C30" s="78"/>
      <x:c r="D30" s="78"/>
      <x:c r="E30" s="78"/>
      <x:c r="F30" s="78"/>
      <x:c r="G30" s="78"/>
    </x:row>
    <x:row r="31" ht="27" customHeight="1">
      <x:c r="A31" s="101" t="str">
        <x:v>06 | Source disagreements</x:v>
      </x:c>
      <x:c r="B31" s="101" t="str">
        <x:v>06 | Source disagreements</x:v>
      </x:c>
      <x:c r="C31" s="101" t="str">
        <x:v>06 | Source disagreements</x:v>
      </x:c>
      <x:c r="D31" s="101" t="str">
        <x:v>06 | Source disagreements</x:v>
      </x:c>
      <x:c r="E31" s="101" t="str">
        <x:v>06 | Source disagreements</x:v>
      </x:c>
      <x:c r="F31" s="101" t="str">
        <x:v>06 | Source disagreements</x:v>
      </x:c>
      <x:c r="G31" s="101" t="str">
        <x:v>06 | Source disagreements</x:v>
      </x:c>
    </x:row>
    <x:row r="32" ht="26" customHeight="1">
      <x:c r="A32" s="78" t="str">
        <x:v>AirDNA is the primary performance source for consistency; selected Rabbu pages replace highly discontinuous public series. Neither is blended. The rejected source and reason are retained. No ranking is based on a large reported supply change.</x:v>
      </x:c>
      <x:c r="B32" s="78" t="str">
        <x:v>AirDNA is the primary performance source for consistency; selected Rabbu pages replace highly discontinuous public series. Neither is blended. The rejected source and reason are retained. No ranking is based on a large reported supply change.</x:v>
      </x:c>
      <x:c r="C32" s="78" t="str">
        <x:v>AirDNA is the primary performance source for consistency; selected Rabbu pages replace highly discontinuous public series. Neither is blended. The rejected source and reason are retained. No ranking is based on a large reported supply change.</x:v>
      </x:c>
      <x:c r="D32" s="78" t="str">
        <x:v>AirDNA is the primary performance source for consistency; selected Rabbu pages replace highly discontinuous public series. Neither is blended. The rejected source and reason are retained. No ranking is based on a large reported supply change.</x:v>
      </x:c>
      <x:c r="E32" s="78" t="str">
        <x:v>AirDNA is the primary performance source for consistency; selected Rabbu pages replace highly discontinuous public series. Neither is blended. The rejected source and reason are retained. No ranking is based on a large reported supply change.</x:v>
      </x:c>
      <x:c r="F32" s="78" t="str">
        <x:v>AirDNA is the primary performance source for consistency; selected Rabbu pages replace highly discontinuous public series. Neither is blended. The rejected source and reason are retained. No ranking is based on a large reported supply change.</x:v>
      </x:c>
      <x:c r="G32" s="78" t="str">
        <x:v>AirDNA is the primary performance source for consistency; selected Rabbu pages replace highly discontinuous public series. Neither is blended. The rejected source and reason are retained. No ranking is based on a large reported supply change.</x:v>
      </x:c>
    </x:row>
    <x:row r="33" ht="26" customHeight="1">
      <x:c r="A33" s="78" t="str">
        <x:v>AirDNA is the primary performance source for consistency; selected Rabbu pages replace highly discontinuous public series. Neither is blended. The rejected source and reason are retained. No ranking is based on a large reported supply change.</x:v>
      </x:c>
      <x:c r="B33" s="78" t="str">
        <x:v>AirDNA is the primary performance source for consistency; selected Rabbu pages replace highly discontinuous public series. Neither is blended. The rejected source and reason are retained. No ranking is based on a large reported supply change.</x:v>
      </x:c>
      <x:c r="C33" s="78" t="str">
        <x:v>AirDNA is the primary performance source for consistency; selected Rabbu pages replace highly discontinuous public series. Neither is blended. The rejected source and reason are retained. No ranking is based on a large reported supply change.</x:v>
      </x:c>
      <x:c r="D33" s="78" t="str">
        <x:v>AirDNA is the primary performance source for consistency; selected Rabbu pages replace highly discontinuous public series. Neither is blended. The rejected source and reason are retained. No ranking is based on a large reported supply change.</x:v>
      </x:c>
      <x:c r="E33" s="78" t="str">
        <x:v>AirDNA is the primary performance source for consistency; selected Rabbu pages replace highly discontinuous public series. Neither is blended. The rejected source and reason are retained. No ranking is based on a large reported supply change.</x:v>
      </x:c>
      <x:c r="F33" s="78" t="str">
        <x:v>AirDNA is the primary performance source for consistency; selected Rabbu pages replace highly discontinuous public series. Neither is blended. The rejected source and reason are retained. No ranking is based on a large reported supply change.</x:v>
      </x:c>
      <x:c r="G33" s="78" t="str">
        <x:v>AirDNA is the primary performance source for consistency; selected Rabbu pages replace highly discontinuous public series. Neither is blended. The rejected source and reason are retained. No ranking is based on a large reported supply change.</x:v>
      </x:c>
    </x:row>
    <x:row r="34" ht="27" customHeight="1">
      <x:c r="A34" s="78"/>
      <x:c r="B34" s="78"/>
      <x:c r="C34" s="78"/>
      <x:c r="D34" s="78"/>
      <x:c r="E34" s="78"/>
      <x:c r="F34" s="78"/>
      <x:c r="G34" s="78"/>
    </x:row>
    <x:row r="35" ht="27" customHeight="1">
      <x:c r="A35" s="101" t="str">
        <x:v>07 | Housing and rent</x:v>
      </x:c>
      <x:c r="B35" s="101" t="str">
        <x:v>07 | Housing and rent</x:v>
      </x:c>
      <x:c r="C35" s="101" t="str">
        <x:v>07 | Housing and rent</x:v>
      </x:c>
      <x:c r="D35" s="101" t="str">
        <x:v>07 | Housing and rent</x:v>
      </x:c>
      <x:c r="E35" s="101" t="str">
        <x:v>07 | Housing and rent</x:v>
      </x:c>
      <x:c r="F35" s="101" t="str">
        <x:v>07 | Housing and rent</x:v>
      </x:c>
      <x:c r="G35" s="101" t="str">
        <x:v>07 | Housing and rent</x:v>
      </x:c>
    </x:row>
    <x:row r="36" ht="26" customHeight="1">
      <x:c r="A36" s="78" t="str">
        <x:v>City-wide Zillow values are context, not the cost of an STR-ready home. Rental Manager asking-rent averages and ZORI indexes are different measures; each is labeled. Missing cost data are left blank. Do not compare mismatched property types/geographies.</x:v>
      </x:c>
      <x:c r="B36" s="78" t="str">
        <x:v>City-wide Zillow values are context, not the cost of an STR-ready home. Rental Manager asking-rent averages and ZORI indexes are different measures; each is labeled. Missing cost data are left blank. Do not compare mismatched property types/geographies.</x:v>
      </x:c>
      <x:c r="C36" s="78" t="str">
        <x:v>City-wide Zillow values are context, not the cost of an STR-ready home. Rental Manager asking-rent averages and ZORI indexes are different measures; each is labeled. Missing cost data are left blank. Do not compare mismatched property types/geographies.</x:v>
      </x:c>
      <x:c r="D36" s="78" t="str">
        <x:v>City-wide Zillow values are context, not the cost of an STR-ready home. Rental Manager asking-rent averages and ZORI indexes are different measures; each is labeled. Missing cost data are left blank. Do not compare mismatched property types/geographies.</x:v>
      </x:c>
      <x:c r="E36" s="78" t="str">
        <x:v>City-wide Zillow values are context, not the cost of an STR-ready home. Rental Manager asking-rent averages and ZORI indexes are different measures; each is labeled. Missing cost data are left blank. Do not compare mismatched property types/geographies.</x:v>
      </x:c>
      <x:c r="F36" s="78" t="str">
        <x:v>City-wide Zillow values are context, not the cost of an STR-ready home. Rental Manager asking-rent averages and ZORI indexes are different measures; each is labeled. Missing cost data are left blank. Do not compare mismatched property types/geographies.</x:v>
      </x:c>
      <x:c r="G36" s="78" t="str">
        <x:v>City-wide Zillow values are context, not the cost of an STR-ready home. Rental Manager asking-rent averages and ZORI indexes are different measures; each is labeled. Missing cost data are left blank. Do not compare mismatched property types/geographies.</x:v>
      </x:c>
    </x:row>
    <x:row r="37" ht="26" customHeight="1">
      <x:c r="A37" s="78" t="str">
        <x:v>City-wide Zillow values are context, not the cost of an STR-ready home. Rental Manager asking-rent averages and ZORI indexes are different measures; each is labeled. Missing cost data are left blank. Do not compare mismatched property types/geographies.</x:v>
      </x:c>
      <x:c r="B37" s="78" t="str">
        <x:v>City-wide Zillow values are context, not the cost of an STR-ready home. Rental Manager asking-rent averages and ZORI indexes are different measures; each is labeled. Missing cost data are left blank. Do not compare mismatched property types/geographies.</x:v>
      </x:c>
      <x:c r="C37" s="78" t="str">
        <x:v>City-wide Zillow values are context, not the cost of an STR-ready home. Rental Manager asking-rent averages and ZORI indexes are different measures; each is labeled. Missing cost data are left blank. Do not compare mismatched property types/geographies.</x:v>
      </x:c>
      <x:c r="D37" s="78" t="str">
        <x:v>City-wide Zillow values are context, not the cost of an STR-ready home. Rental Manager asking-rent averages and ZORI indexes are different measures; each is labeled. Missing cost data are left blank. Do not compare mismatched property types/geographies.</x:v>
      </x:c>
      <x:c r="E37" s="78" t="str">
        <x:v>City-wide Zillow values are context, not the cost of an STR-ready home. Rental Manager asking-rent averages and ZORI indexes are different measures; each is labeled. Missing cost data are left blank. Do not compare mismatched property types/geographies.</x:v>
      </x:c>
      <x:c r="F37" s="78" t="str">
        <x:v>City-wide Zillow values are context, not the cost of an STR-ready home. Rental Manager asking-rent averages and ZORI indexes are different measures; each is labeled. Missing cost data are left blank. Do not compare mismatched property types/geographies.</x:v>
      </x:c>
      <x:c r="G37" s="78" t="str">
        <x:v>City-wide Zillow values are context, not the cost of an STR-ready home. Rental Manager asking-rent averages and ZORI indexes are different measures; each is labeled. Missing cost data are left blank. Do not compare mismatched property types/geographies.</x:v>
      </x:c>
    </x:row>
    <x:row r="38" ht="27" customHeight="1">
      <x:c r="A38" s="78"/>
      <x:c r="B38" s="78"/>
      <x:c r="C38" s="78"/>
      <x:c r="D38" s="78"/>
      <x:c r="E38" s="78"/>
      <x:c r="F38" s="78"/>
      <x:c r="G38" s="78"/>
    </x:row>
    <x:row r="39" ht="27" customHeight="1">
      <x:c r="A39" s="101" t="str">
        <x:v>08 | Regulatory evidence</x:v>
      </x:c>
      <x:c r="B39" s="101" t="str">
        <x:v>08 | Regulatory evidence</x:v>
      </x:c>
      <x:c r="C39" s="101" t="str">
        <x:v>08 | Regulatory evidence</x:v>
      </x:c>
      <x:c r="D39" s="101" t="str">
        <x:v>08 | Regulatory evidence</x:v>
      </x:c>
      <x:c r="E39" s="101" t="str">
        <x:v>08 | Regulatory evidence</x:v>
      </x:c>
      <x:c r="F39" s="101" t="str">
        <x:v>08 | Regulatory evidence</x:v>
      </x:c>
      <x:c r="G39" s="101" t="str">
        <x:v>08 | Regulatory evidence</x:v>
      </x:c>
    </x:row>
    <x:row r="40" ht="26" customHeight="1">
      <x:c r="A40" s="78" t="str">
        <x:v>31 markets have an official source review, including 2 county-only partial reviews. The other 69 have explicit unresolved local checks. None has a parcel-level legal opinion, a confirmed permit vacancy or a cleared HOA/lease.</x:v>
      </x:c>
      <x:c r="B40" s="78" t="str">
        <x:v>31 markets have an official source review, including 2 county-only partial reviews. The other 69 have explicit unresolved local checks. None has a parcel-level legal opinion, a confirmed permit vacancy or a cleared HOA/lease.</x:v>
      </x:c>
      <x:c r="C40" s="78" t="str">
        <x:v>31 markets have an official source review, including 2 county-only partial reviews. The other 69 have explicit unresolved local checks. None has a parcel-level legal opinion, a confirmed permit vacancy or a cleared HOA/lease.</x:v>
      </x:c>
      <x:c r="D40" s="78" t="str">
        <x:v>31 markets have an official source review, including 2 county-only partial reviews. The other 69 have explicit unresolved local checks. None has a parcel-level legal opinion, a confirmed permit vacancy or a cleared HOA/lease.</x:v>
      </x:c>
      <x:c r="E40" s="78" t="str">
        <x:v>31 markets have an official source review, including 2 county-only partial reviews. The other 69 have explicit unresolved local checks. None has a parcel-level legal opinion, a confirmed permit vacancy or a cleared HOA/lease.</x:v>
      </x:c>
      <x:c r="F40" s="78" t="str">
        <x:v>31 markets have an official source review, including 2 county-only partial reviews. The other 69 have explicit unresolved local checks. None has a parcel-level legal opinion, a confirmed permit vacancy or a cleared HOA/lease.</x:v>
      </x:c>
      <x:c r="G40" s="78" t="str">
        <x:v>31 markets have an official source review, including 2 county-only partial reviews. The other 69 have explicit unresolved local checks. None has a parcel-level legal opinion, a confirmed permit vacancy or a cleared HOA/lease.</x:v>
      </x:c>
    </x:row>
    <x:row r="41" ht="26" customHeight="1">
      <x:c r="A41" s="78" t="str">
        <x:v>31 markets have an official source review, including 2 county-only partial reviews. The other 69 have explicit unresolved local checks. None has a parcel-level legal opinion, a confirmed permit vacancy or a cleared HOA/lease.</x:v>
      </x:c>
      <x:c r="B41" s="78" t="str">
        <x:v>31 markets have an official source review, including 2 county-only partial reviews. The other 69 have explicit unresolved local checks. None has a parcel-level legal opinion, a confirmed permit vacancy or a cleared HOA/lease.</x:v>
      </x:c>
      <x:c r="C41" s="78" t="str">
        <x:v>31 markets have an official source review, including 2 county-only partial reviews. The other 69 have explicit unresolved local checks. None has a parcel-level legal opinion, a confirmed permit vacancy or a cleared HOA/lease.</x:v>
      </x:c>
      <x:c r="D41" s="78" t="str">
        <x:v>31 markets have an official source review, including 2 county-only partial reviews. The other 69 have explicit unresolved local checks. None has a parcel-level legal opinion, a confirmed permit vacancy or a cleared HOA/lease.</x:v>
      </x:c>
      <x:c r="E41" s="78" t="str">
        <x:v>31 markets have an official source review, including 2 county-only partial reviews. The other 69 have explicit unresolved local checks. None has a parcel-level legal opinion, a confirmed permit vacancy or a cleared HOA/lease.</x:v>
      </x:c>
      <x:c r="F41" s="78" t="str">
        <x:v>31 markets have an official source review, including 2 county-only partial reviews. The other 69 have explicit unresolved local checks. None has a parcel-level legal opinion, a confirmed permit vacancy or a cleared HOA/lease.</x:v>
      </x:c>
      <x:c r="G41" s="78" t="str">
        <x:v>31 markets have an official source review, including 2 county-only partial reviews. The other 69 have explicit unresolved local checks. None has a parcel-level legal opinion, a confirmed permit vacancy or a cleared HOA/lease.</x:v>
      </x:c>
    </x:row>
    <x:row r="42" ht="27" customHeight="1">
      <x:c r="A42" s="78"/>
      <x:c r="B42" s="78"/>
      <x:c r="C42" s="78"/>
      <x:c r="D42" s="78"/>
      <x:c r="E42" s="78"/>
      <x:c r="F42" s="78"/>
      <x:c r="G42" s="78"/>
    </x:row>
    <x:row r="43" ht="27" customHeight="1">
      <x:c r="A43" s="101" t="str">
        <x:v>09 | Ranking and qualitative fields</x:v>
      </x:c>
      <x:c r="B43" s="101" t="str">
        <x:v>09 | Ranking and qualitative fields</x:v>
      </x:c>
      <x:c r="C43" s="101" t="str">
        <x:v>09 | Ranking and qualitative fields</x:v>
      </x:c>
      <x:c r="D43" s="101" t="str">
        <x:v>09 | Ranking and qualitative fields</x:v>
      </x:c>
      <x:c r="E43" s="101" t="str">
        <x:v>09 | Ranking and qualitative fields</x:v>
      </x:c>
      <x:c r="F43" s="101" t="str">
        <x:v>09 | Ranking and qualitative fields</x:v>
      </x:c>
      <x:c r="G43" s="101" t="str">
        <x:v>09 | Ranking and qualitative fields</x:v>
      </x:c>
    </x:row>
    <x:row r="44" ht="26" customHeight="1">
      <x:c r="A44" s="78" t="str">
        <x:v>List position is a navigation ID, grouped broadly by region/use—not expected ROI. Seasonality, guest niche, model fit and opportunity labels are analyst screening hypotheses. They are not investment or appreciation forecasts.</x:v>
      </x:c>
      <x:c r="B44" s="78" t="str">
        <x:v>List position is a navigation ID, grouped broadly by region/use—not expected ROI. Seasonality, guest niche, model fit and opportunity labels are analyst screening hypotheses. They are not investment or appreciation forecasts.</x:v>
      </x:c>
      <x:c r="C44" s="78" t="str">
        <x:v>List position is a navigation ID, grouped broadly by region/use—not expected ROI. Seasonality, guest niche, model fit and opportunity labels are analyst screening hypotheses. They are not investment or appreciation forecasts.</x:v>
      </x:c>
      <x:c r="D44" s="78" t="str">
        <x:v>List position is a navigation ID, grouped broadly by region/use—not expected ROI. Seasonality, guest niche, model fit and opportunity labels are analyst screening hypotheses. They are not investment or appreciation forecasts.</x:v>
      </x:c>
      <x:c r="E44" s="78" t="str">
        <x:v>List position is a navigation ID, grouped broadly by region/use—not expected ROI. Seasonality, guest niche, model fit and opportunity labels are analyst screening hypotheses. They are not investment or appreciation forecasts.</x:v>
      </x:c>
      <x:c r="F44" s="78" t="str">
        <x:v>List position is a navigation ID, grouped broadly by region/use—not expected ROI. Seasonality, guest niche, model fit and opportunity labels are analyst screening hypotheses. They are not investment or appreciation forecasts.</x:v>
      </x:c>
      <x:c r="G44" s="78" t="str">
        <x:v>List position is a navigation ID, grouped broadly by region/use—not expected ROI. Seasonality, guest niche, model fit and opportunity labels are analyst screening hypotheses. They are not investment or appreciation forecasts.</x:v>
      </x:c>
    </x:row>
    <x:row r="45" ht="26" customHeight="1">
      <x:c r="A45" s="78" t="str">
        <x:v>List position is a navigation ID, grouped broadly by region/use—not expected ROI. Seasonality, guest niche, model fit and opportunity labels are analyst screening hypotheses. They are not investment or appreciation forecasts.</x:v>
      </x:c>
      <x:c r="B45" s="78" t="str">
        <x:v>List position is a navigation ID, grouped broadly by region/use—not expected ROI. Seasonality, guest niche, model fit and opportunity labels are analyst screening hypotheses. They are not investment or appreciation forecasts.</x:v>
      </x:c>
      <x:c r="C45" s="78" t="str">
        <x:v>List position is a navigation ID, grouped broadly by region/use—not expected ROI. Seasonality, guest niche, model fit and opportunity labels are analyst screening hypotheses. They are not investment or appreciation forecasts.</x:v>
      </x:c>
      <x:c r="D45" s="78" t="str">
        <x:v>List position is a navigation ID, grouped broadly by region/use—not expected ROI. Seasonality, guest niche, model fit and opportunity labels are analyst screening hypotheses. They are not investment or appreciation forecasts.</x:v>
      </x:c>
      <x:c r="E45" s="78" t="str">
        <x:v>List position is a navigation ID, grouped broadly by region/use—not expected ROI. Seasonality, guest niche, model fit and opportunity labels are analyst screening hypotheses. They are not investment or appreciation forecasts.</x:v>
      </x:c>
      <x:c r="F45" s="78" t="str">
        <x:v>List position is a navigation ID, grouped broadly by region/use—not expected ROI. Seasonality, guest niche, model fit and opportunity labels are analyst screening hypotheses. They are not investment or appreciation forecasts.</x:v>
      </x:c>
      <x:c r="G45" s="78" t="str">
        <x:v>List position is a navigation ID, grouped broadly by region/use—not expected ROI. Seasonality, guest niche, model fit and opportunity labels are analyst screening hypotheses. They are not investment or appreciation forecasts.</x:v>
      </x:c>
    </x:row>
    <x:row r="46" ht="27" customHeight="1">
      <x:c r="A46" s="78"/>
      <x:c r="B46" s="78"/>
      <x:c r="C46" s="78"/>
      <x:c r="D46" s="78"/>
      <x:c r="E46" s="78"/>
      <x:c r="F46" s="78"/>
      <x:c r="G46" s="78"/>
    </x:row>
    <x:row r="47" ht="27" customHeight="1">
      <x:c r="A47" s="101" t="str">
        <x:v>10 | How to choose a shortlist</x:v>
      </x:c>
      <x:c r="B47" s="101" t="str">
        <x:v>10 | How to choose a shortlist</x:v>
      </x:c>
      <x:c r="C47" s="101" t="str">
        <x:v>10 | How to choose a shortlist</x:v>
      </x:c>
      <x:c r="D47" s="101" t="str">
        <x:v>10 | How to choose a shortlist</x:v>
      </x:c>
      <x:c r="E47" s="101" t="str">
        <x:v>10 | How to choose a shortlist</x:v>
      </x:c>
      <x:c r="F47" s="101" t="str">
        <x:v>10 | How to choose a shortlist</x:v>
      </x:c>
      <x:c r="G47" s="101" t="str">
        <x:v>10 | How to choose a shortlist</x:v>
      </x:c>
    </x:row>
    <x:row r="48" ht="26" customHeight="1">
      <x:c r="A48" s="78" t="str">
        <x:v>Filter by a guest niche you can serve, geographic access and a plausible legal path. Obtain 5–10 matched, active whole-home comps. Quote rent/purchase, insurance and services. Stress-test both revenue and expenses.</x:v>
      </x:c>
      <x:c r="B48" s="78" t="str">
        <x:v>Filter by a guest niche you can serve, geographic access and a plausible legal path. Obtain 5–10 matched, active whole-home comps. Quote rent/purchase, insurance and services. Stress-test both revenue and expenses.</x:v>
      </x:c>
      <x:c r="C48" s="78" t="str">
        <x:v>Filter by a guest niche you can serve, geographic access and a plausible legal path. Obtain 5–10 matched, active whole-home comps. Quote rent/purchase, insurance and services. Stress-test both revenue and expenses.</x:v>
      </x:c>
      <x:c r="D48" s="78" t="str">
        <x:v>Filter by a guest niche you can serve, geographic access and a plausible legal path. Obtain 5–10 matched, active whole-home comps. Quote rent/purchase, insurance and services. Stress-test both revenue and expenses.</x:v>
      </x:c>
      <x:c r="E48" s="78" t="str">
        <x:v>Filter by a guest niche you can serve, geographic access and a plausible legal path. Obtain 5–10 matched, active whole-home comps. Quote rent/purchase, insurance and services. Stress-test both revenue and expenses.</x:v>
      </x:c>
      <x:c r="F48" s="78" t="str">
        <x:v>Filter by a guest niche you can serve, geographic access and a plausible legal path. Obtain 5–10 matched, active whole-home comps. Quote rent/purchase, insurance and services. Stress-test both revenue and expenses.</x:v>
      </x:c>
      <x:c r="G48" s="78" t="str">
        <x:v>Filter by a guest niche you can serve, geographic access and a plausible legal path. Obtain 5–10 matched, active whole-home comps. Quote rent/purchase, insurance and services. Stress-test both revenue and expenses.</x:v>
      </x:c>
    </x:row>
    <x:row r="49" ht="26" customHeight="1">
      <x:c r="A49" s="78" t="str">
        <x:v>Filter by a guest niche you can serve, geographic access and a plausible legal path. Obtain 5–10 matched, active whole-home comps. Quote rent/purchase, insurance and services. Stress-test both revenue and expenses.</x:v>
      </x:c>
      <x:c r="B49" s="78" t="str">
        <x:v>Filter by a guest niche you can serve, geographic access and a plausible legal path. Obtain 5–10 matched, active whole-home comps. Quote rent/purchase, insurance and services. Stress-test both revenue and expenses.</x:v>
      </x:c>
      <x:c r="C49" s="78" t="str">
        <x:v>Filter by a guest niche you can serve, geographic access and a plausible legal path. Obtain 5–10 matched, active whole-home comps. Quote rent/purchase, insurance and services. Stress-test both revenue and expenses.</x:v>
      </x:c>
      <x:c r="D49" s="78" t="str">
        <x:v>Filter by a guest niche you can serve, geographic access and a plausible legal path. Obtain 5–10 matched, active whole-home comps. Quote rent/purchase, insurance and services. Stress-test both revenue and expenses.</x:v>
      </x:c>
      <x:c r="E49" s="78" t="str">
        <x:v>Filter by a guest niche you can serve, geographic access and a plausible legal path. Obtain 5–10 matched, active whole-home comps. Quote rent/purchase, insurance and services. Stress-test both revenue and expenses.</x:v>
      </x:c>
      <x:c r="F49" s="78" t="str">
        <x:v>Filter by a guest niche you can serve, geographic access and a plausible legal path. Obtain 5–10 matched, active whole-home comps. Quote rent/purchase, insurance and services. Stress-test both revenue and expenses.</x:v>
      </x:c>
      <x:c r="G49" s="78" t="str">
        <x:v>Filter by a guest niche you can serve, geographic access and a plausible legal path. Obtain 5–10 matched, active whole-home comps. Quote rent/purchase, insurance and services. Stress-test both revenue and expenses.</x:v>
      </x:c>
    </x:row>
    <x:row r="50" ht="27" customHeight="1">
      <x:c r="A50" s="78"/>
      <x:c r="B50" s="78"/>
      <x:c r="C50" s="78"/>
      <x:c r="D50" s="78"/>
      <x:c r="E50" s="78"/>
      <x:c r="F50" s="78"/>
      <x:c r="G50" s="78"/>
    </x:row>
    <x:row r="51" ht="27" customHeight="1">
      <x:c r="A51" s="101" t="str">
        <x:v>11 | Gaps that are not hidden</x:v>
      </x:c>
      <x:c r="B51" s="101" t="str">
        <x:v>11 | Gaps that are not hidden</x:v>
      </x:c>
      <x:c r="C51" s="101" t="str">
        <x:v>11 | Gaps that are not hidden</x:v>
      </x:c>
      <x:c r="D51" s="101" t="str">
        <x:v>11 | Gaps that are not hidden</x:v>
      </x:c>
      <x:c r="E51" s="101" t="str">
        <x:v>11 | Gaps that are not hidden</x:v>
      </x:c>
      <x:c r="F51" s="101" t="str">
        <x:v>11 | Gaps that are not hidden</x:v>
      </x:c>
      <x:c r="G51" s="101" t="str">
        <x:v>11 | Gaps that are not hidden</x:v>
      </x:c>
    </x:row>
    <x:row r="52" ht="26" customHeight="1">
      <x:c r="A52" s="78" t="str">
        <x:v>Massanutten has no usable public STR benchmark here. Wilmington has a separately labeled annual projection, not historical annual revenue. No property-specific taxes, insurance quotes, population/job-growth forecasts or appreciation forecasts are invented.</x:v>
      </x:c>
      <x:c r="B52" s="78" t="str">
        <x:v>Massanutten has no usable public STR benchmark here. Wilmington has a separately labeled annual projection, not historical annual revenue. No property-specific taxes, insurance quotes, population/job-growth forecasts or appreciation forecasts are invented.</x:v>
      </x:c>
      <x:c r="C52" s="78" t="str">
        <x:v>Massanutten has no usable public STR benchmark here. Wilmington has a separately labeled annual projection, not historical annual revenue. No property-specific taxes, insurance quotes, population/job-growth forecasts or appreciation forecasts are invented.</x:v>
      </x:c>
      <x:c r="D52" s="78" t="str">
        <x:v>Massanutten has no usable public STR benchmark here. Wilmington has a separately labeled annual projection, not historical annual revenue. No property-specific taxes, insurance quotes, population/job-growth forecasts or appreciation forecasts are invented.</x:v>
      </x:c>
      <x:c r="E52" s="78" t="str">
        <x:v>Massanutten has no usable public STR benchmark here. Wilmington has a separately labeled annual projection, not historical annual revenue. No property-specific taxes, insurance quotes, population/job-growth forecasts or appreciation forecasts are invented.</x:v>
      </x:c>
      <x:c r="F52" s="78" t="str">
        <x:v>Massanutten has no usable public STR benchmark here. Wilmington has a separately labeled annual projection, not historical annual revenue. No property-specific taxes, insurance quotes, population/job-growth forecasts or appreciation forecasts are invented.</x:v>
      </x:c>
      <x:c r="G52" s="78" t="str">
        <x:v>Massanutten has no usable public STR benchmark here. Wilmington has a separately labeled annual projection, not historical annual revenue. No property-specific taxes, insurance quotes, population/job-growth forecasts or appreciation forecasts are invented.</x:v>
      </x:c>
    </x:row>
    <x:row r="53" ht="26" customHeight="1">
      <x:c r="A53" s="78" t="str">
        <x:v>Massanutten has no usable public STR benchmark here. Wilmington has a separately labeled annual projection, not historical annual revenue. No property-specific taxes, insurance quotes, population/job-growth forecasts or appreciation forecasts are invented.</x:v>
      </x:c>
      <x:c r="B53" s="78" t="str">
        <x:v>Massanutten has no usable public STR benchmark here. Wilmington has a separately labeled annual projection, not historical annual revenue. No property-specific taxes, insurance quotes, population/job-growth forecasts or appreciation forecasts are invented.</x:v>
      </x:c>
      <x:c r="C53" s="78" t="str">
        <x:v>Massanutten has no usable public STR benchmark here. Wilmington has a separately labeled annual projection, not historical annual revenue. No property-specific taxes, insurance quotes, population/job-growth forecasts or appreciation forecasts are invented.</x:v>
      </x:c>
      <x:c r="D53" s="78" t="str">
        <x:v>Massanutten has no usable public STR benchmark here. Wilmington has a separately labeled annual projection, not historical annual revenue. No property-specific taxes, insurance quotes, population/job-growth forecasts or appreciation forecasts are invented.</x:v>
      </x:c>
      <x:c r="E53" s="78" t="str">
        <x:v>Massanutten has no usable public STR benchmark here. Wilmington has a separately labeled annual projection, not historical annual revenue. No property-specific taxes, insurance quotes, population/job-growth forecasts or appreciation forecasts are invented.</x:v>
      </x:c>
      <x:c r="F53" s="78" t="str">
        <x:v>Massanutten has no usable public STR benchmark here. Wilmington has a separately labeled annual projection, not historical annual revenue. No property-specific taxes, insurance quotes, population/job-growth forecasts or appreciation forecasts are invented.</x:v>
      </x:c>
      <x:c r="G53" s="78" t="str">
        <x:v>Massanutten has no usable public STR benchmark here. Wilmington has a separately labeled annual projection, not historical annual revenue. No property-specific taxes, insurance quotes, population/job-growth forecasts or appreciation forecasts are invented.</x:v>
      </x:c>
    </x:row>
    <x:row r="54" ht="27" customHeight="1">
      <x:c r="A54" s="78"/>
      <x:c r="B54" s="78"/>
      <x:c r="C54" s="78"/>
      <x:c r="D54" s="78"/>
      <x:c r="E54" s="78"/>
      <x:c r="F54" s="78"/>
      <x:c r="G54" s="78"/>
    </x:row>
    <x:row r="55" ht="27" customHeight="1">
      <x:c r="A55" s="101" t="str">
        <x:v>12 | Before risking capital</x:v>
      </x:c>
      <x:c r="B55" s="101" t="str">
        <x:v>12 | Before risking capital</x:v>
      </x:c>
      <x:c r="C55" s="101" t="str">
        <x:v>12 | Before risking capital</x:v>
      </x:c>
      <x:c r="D55" s="101" t="str">
        <x:v>12 | Before risking capital</x:v>
      </x:c>
      <x:c r="E55" s="101" t="str">
        <x:v>12 | Before risking capital</x:v>
      </x:c>
      <x:c r="F55" s="101" t="str">
        <x:v>12 | Before risking capital</x:v>
      </x:c>
      <x:c r="G55" s="101" t="str">
        <x:v>12 | Before risking capital</x:v>
      </x:c>
    </x:row>
    <x:row r="56" ht="26" customHeight="1">
      <x:c r="A56" s="78" t="str">
        <x:v>Get written land-use/permit, HOA and landlord/lender approval as applicable. Confirm fees, taxes, inspections and transfer rules. Research inclusion and a high checklist score never guarantee profitability.</x:v>
      </x:c>
      <x:c r="B56" s="78" t="str">
        <x:v>Get written land-use/permit, HOA and landlord/lender approval as applicable. Confirm fees, taxes, inspections and transfer rules. Research inclusion and a high checklist score never guarantee profitability.</x:v>
      </x:c>
      <x:c r="C56" s="78" t="str">
        <x:v>Get written land-use/permit, HOA and landlord/lender approval as applicable. Confirm fees, taxes, inspections and transfer rules. Research inclusion and a high checklist score never guarantee profitability.</x:v>
      </x:c>
      <x:c r="D56" s="78" t="str">
        <x:v>Get written land-use/permit, HOA and landlord/lender approval as applicable. Confirm fees, taxes, inspections and transfer rules. Research inclusion and a high checklist score never guarantee profitability.</x:v>
      </x:c>
      <x:c r="E56" s="78" t="str">
        <x:v>Get written land-use/permit, HOA and landlord/lender approval as applicable. Confirm fees, taxes, inspections and transfer rules. Research inclusion and a high checklist score never guarantee profitability.</x:v>
      </x:c>
      <x:c r="F56" s="78" t="str">
        <x:v>Get written land-use/permit, HOA and landlord/lender approval as applicable. Confirm fees, taxes, inspections and transfer rules. Research inclusion and a high checklist score never guarantee profitability.</x:v>
      </x:c>
      <x:c r="G56" s="78" t="str">
        <x:v>Get written land-use/permit, HOA and landlord/lender approval as applicable. Confirm fees, taxes, inspections and transfer rules. Research inclusion and a high checklist score never guarantee profitability.</x:v>
      </x:c>
    </x:row>
    <x:row r="57" ht="26" customHeight="1">
      <x:c r="A57" s="78" t="str">
        <x:v>Get written land-use/permit, HOA and landlord/lender approval as applicable. Confirm fees, taxes, inspections and transfer rules. Research inclusion and a high checklist score never guarantee profitability.</x:v>
      </x:c>
      <x:c r="B57" s="78" t="str">
        <x:v>Get written land-use/permit, HOA and landlord/lender approval as applicable. Confirm fees, taxes, inspections and transfer rules. Research inclusion and a high checklist score never guarantee profitability.</x:v>
      </x:c>
      <x:c r="C57" s="78" t="str">
        <x:v>Get written land-use/permit, HOA and landlord/lender approval as applicable. Confirm fees, taxes, inspections and transfer rules. Research inclusion and a high checklist score never guarantee profitability.</x:v>
      </x:c>
      <x:c r="D57" s="78" t="str">
        <x:v>Get written land-use/permit, HOA and landlord/lender approval as applicable. Confirm fees, taxes, inspections and transfer rules. Research inclusion and a high checklist score never guarantee profitability.</x:v>
      </x:c>
      <x:c r="E57" s="78" t="str">
        <x:v>Get written land-use/permit, HOA and landlord/lender approval as applicable. Confirm fees, taxes, inspections and transfer rules. Research inclusion and a high checklist score never guarantee profitability.</x:v>
      </x:c>
      <x:c r="F57" s="78" t="str">
        <x:v>Get written land-use/permit, HOA and landlord/lender approval as applicable. Confirm fees, taxes, inspections and transfer rules. Research inclusion and a high checklist score never guarantee profitability.</x:v>
      </x:c>
      <x:c r="G57" s="78" t="str">
        <x:v>Get written land-use/permit, HOA and landlord/lender approval as applicable. Confirm fees, taxes, inspections and transfer rules. Research inclusion and a high checklist score never guarantee profitability.</x:v>
      </x:c>
    </x:row>
    <x:row r="58" ht="27" customHeight="1">
      <x:c r="A58" s="78"/>
      <x:c r="B58" s="78"/>
      <x:c r="C58" s="78"/>
      <x:c r="D58" s="78"/>
      <x:c r="E58" s="78"/>
      <x:c r="F58" s="78"/>
      <x:c r="G58" s="78"/>
    </x:row>
    <x:row r="59" ht="27" customHeight="1">
      <x:c r="A59" s="101"/>
      <x:c r="B59" s="101"/>
      <x:c r="C59" s="101"/>
      <x:c r="D59" s="101"/>
      <x:c r="E59" s="101"/>
      <x:c r="F59" s="101"/>
      <x:c r="G59" s="101"/>
    </x:row>
    <x:row r="60" ht="27" customHeight="1">
      <x:c r="A60" s="78"/>
      <x:c r="B60" s="78"/>
      <x:c r="C60" s="78"/>
      <x:c r="D60" s="78"/>
      <x:c r="E60" s="78"/>
      <x:c r="F60" s="78"/>
      <x:c r="G60" s="78"/>
    </x:row>
    <x:row r="61" ht="27" customHeight="1">
      <x:c r="A61" s="77" t="str">
        <x:v>Investment, legal and tax education only. No guarantee of revenue, financing, permits, deductions or value growth. Verify data, laws, insurance and property facts again before signing, closing or listing.</x:v>
      </x:c>
      <x:c r="B61" s="77" t="str">
        <x:v>Investment, legal and tax education only. No guarantee of revenue, financing, permits, deductions or value growth. Verify data, laws, insurance and property facts again before signing, closing or listing.</x:v>
      </x:c>
      <x:c r="C61" s="77" t="str">
        <x:v>Investment, legal and tax education only. No guarantee of revenue, financing, permits, deductions or value growth. Verify data, laws, insurance and property facts again before signing, closing or listing.</x:v>
      </x:c>
      <x:c r="D61" s="77" t="str">
        <x:v>Investment, legal and tax education only. No guarantee of revenue, financing, permits, deductions or value growth. Verify data, laws, insurance and property facts again before signing, closing or listing.</x:v>
      </x:c>
      <x:c r="E61" s="77" t="str">
        <x:v>Investment, legal and tax education only. No guarantee of revenue, financing, permits, deductions or value growth. Verify data, laws, insurance and property facts again before signing, closing or listing.</x:v>
      </x:c>
      <x:c r="F61" s="77" t="str">
        <x:v>Investment, legal and tax education only. No guarantee of revenue, financing, permits, deductions or value growth. Verify data, laws, insurance and property facts again before signing, closing or listing.</x:v>
      </x:c>
      <x:c r="G61" s="77" t="str">
        <x:v>Investment, legal and tax education only. No guarantee of revenue, financing, permits, deductions or value growth. Verify data, laws, insurance and property facts again before signing, closing or listing.</x:v>
      </x:c>
    </x:row>
    <x:row r="62" ht="27" customHeight="1">
      <x:c r="A62" s="77" t="str">
        <x:v>Investment, legal and tax education only. No guarantee of revenue, financing, permits, deductions or value growth. Verify data, laws, insurance and property facts again before signing, closing or listing.</x:v>
      </x:c>
      <x:c r="B62" s="77" t="str">
        <x:v>Investment, legal and tax education only. No guarantee of revenue, financing, permits, deductions or value growth. Verify data, laws, insurance and property facts again before signing, closing or listing.</x:v>
      </x:c>
      <x:c r="C62" s="77" t="str">
        <x:v>Investment, legal and tax education only. No guarantee of revenue, financing, permits, deductions or value growth. Verify data, laws, insurance and property facts again before signing, closing or listing.</x:v>
      </x:c>
      <x:c r="D62" s="77" t="str">
        <x:v>Investment, legal and tax education only. No guarantee of revenue, financing, permits, deductions or value growth. Verify data, laws, insurance and property facts again before signing, closing or listing.</x:v>
      </x:c>
      <x:c r="E62" s="77" t="str">
        <x:v>Investment, legal and tax education only. No guarantee of revenue, financing, permits, deductions or value growth. Verify data, laws, insurance and property facts again before signing, closing or listing.</x:v>
      </x:c>
      <x:c r="F62" s="77" t="str">
        <x:v>Investment, legal and tax education only. No guarantee of revenue, financing, permits, deductions or value growth. Verify data, laws, insurance and property facts again before signing, closing or listing.</x:v>
      </x:c>
      <x:c r="G62" s="77" t="str">
        <x:v>Investment, legal and tax education only. No guarantee of revenue, financing, permits, deductions or value growth. Verify data, laws, insurance and property facts again before signing, closing or listing.</x:v>
      </x:c>
    </x:row>
    <x:row r="63" ht="27" customHeight="1">
      <x:c r="A63" s="77" t="str">
        <x:v>Investment, legal and tax education only. No guarantee of revenue, financing, permits, deductions or value growth. Verify data, laws, insurance and property facts again before signing, closing or listing.</x:v>
      </x:c>
      <x:c r="B63" s="77" t="str">
        <x:v>Investment, legal and tax education only. No guarantee of revenue, financing, permits, deductions or value growth. Verify data, laws, insurance and property facts again before signing, closing or listing.</x:v>
      </x:c>
      <x:c r="C63" s="77" t="str">
        <x:v>Investment, legal and tax education only. No guarantee of revenue, financing, permits, deductions or value growth. Verify data, laws, insurance and property facts again before signing, closing or listing.</x:v>
      </x:c>
      <x:c r="D63" s="77" t="str">
        <x:v>Investment, legal and tax education only. No guarantee of revenue, financing, permits, deductions or value growth. Verify data, laws, insurance and property facts again before signing, closing or listing.</x:v>
      </x:c>
      <x:c r="E63" s="77" t="str">
        <x:v>Investment, legal and tax education only. No guarantee of revenue, financing, permits, deductions or value growth. Verify data, laws, insurance and property facts again before signing, closing or listing.</x:v>
      </x:c>
      <x:c r="F63" s="77" t="str">
        <x:v>Investment, legal and tax education only. No guarantee of revenue, financing, permits, deductions or value growth. Verify data, laws, insurance and property facts again before signing, closing or listing.</x:v>
      </x:c>
      <x:c r="G63" s="77" t="str">
        <x:v>Investment, legal and tax education only. No guarantee of revenue, financing, permits, deductions or value growth. Verify data, laws, insurance and property facts again before signing, closing or listing.</x:v>
      </x:c>
    </x:row>
    <x:row r="64" ht="27" customHeight="1">
      <x:c r="A64" s="6"/>
      <x:c r="B64" s="6"/>
      <x:c r="C64" s="6"/>
      <x:c r="D64" s="6"/>
      <x:c r="E64" s="6"/>
      <x:c r="F64" s="6"/>
      <x:c r="G64" s="6"/>
    </x:row>
    <x:row r="65" ht="27" customHeight="1">
      <x:c r="A65" s="6"/>
      <x:c r="B65" s="6"/>
      <x:c r="C65" s="6"/>
      <x:c r="D65" s="6"/>
      <x:c r="E65" s="6"/>
      <x:c r="F65" s="6"/>
      <x:c r="G65" s="6"/>
    </x:row>
    <x:row r="66" ht="27" customHeight="1">
      <x:c r="A66" s="6"/>
      <x:c r="B66" s="6"/>
      <x:c r="C66" s="6"/>
      <x:c r="D66" s="6"/>
      <x:c r="E66" s="6"/>
      <x:c r="F66" s="6"/>
      <x:c r="G66" s="6"/>
    </x:row>
    <x:row r="67" ht="27" customHeight="1">
      <x:c r="A67" s="6"/>
      <x:c r="B67" s="6"/>
      <x:c r="C67" s="6"/>
      <x:c r="D67" s="6"/>
      <x:c r="E67" s="6"/>
      <x:c r="F67" s="6"/>
      <x:c r="G67" s="6"/>
    </x:row>
    <x:row r="68" ht="27" customHeight="1">
      <x:c r="A68" s="6"/>
      <x:c r="B68" s="6"/>
      <x:c r="C68" s="6"/>
      <x:c r="D68" s="6"/>
      <x:c r="E68" s="6"/>
      <x:c r="F68" s="6"/>
      <x:c r="G68" s="6"/>
    </x:row>
    <x:row r="69" ht="27" customHeight="1">
      <x:c r="A69" s="6"/>
      <x:c r="B69" s="6"/>
      <x:c r="C69" s="6"/>
      <x:c r="D69" s="6"/>
      <x:c r="E69" s="6"/>
      <x:c r="F69" s="6"/>
      <x:c r="G69" s="6"/>
    </x:row>
    <x:row r="70" ht="27" customHeight="1">
      <x:c r="A70" s="6"/>
      <x:c r="B70" s="6"/>
      <x:c r="C70" s="6"/>
      <x:c r="D70" s="6"/>
      <x:c r="E70" s="6"/>
      <x:c r="F70" s="6"/>
      <x:c r="G70" s="6"/>
    </x:row>
  </x:sheetData>
  <x:mergeCells>
    <x:mergeCell ref="A1:G2"/>
    <x:mergeCell ref="A3:G4"/>
    <x:mergeCell ref="A6:C8"/>
    <x:mergeCell ref="E6:G8"/>
    <x:mergeCell ref="A11:G11"/>
    <x:mergeCell ref="A12:G13"/>
    <x:mergeCell ref="A15:G15"/>
    <x:mergeCell ref="A16:G17"/>
    <x:mergeCell ref="A19:G19"/>
    <x:mergeCell ref="A20:G21"/>
    <x:mergeCell ref="A23:G23"/>
    <x:mergeCell ref="A24:G25"/>
    <x:mergeCell ref="A27:G27"/>
    <x:mergeCell ref="A28:G29"/>
    <x:mergeCell ref="A31:G31"/>
    <x:mergeCell ref="A32:G33"/>
    <x:mergeCell ref="A35:G35"/>
    <x:mergeCell ref="A36:G37"/>
    <x:mergeCell ref="A39:G39"/>
    <x:mergeCell ref="A40:G41"/>
    <x:mergeCell ref="A43:G43"/>
    <x:mergeCell ref="A44:G45"/>
    <x:mergeCell ref="A47:G47"/>
    <x:mergeCell ref="A48:G49"/>
    <x:mergeCell ref="A51:G51"/>
    <x:mergeCell ref="A52:G53"/>
    <x:mergeCell ref="A55:G55"/>
    <x:mergeCell ref="A56:G57"/>
    <x:mergeCell ref="A61:G6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0" hidden="0" customWidth="1"/>
    <x:col min="3" max="3" width="7" hidden="0" customWidth="1"/>
    <x:col min="4" max="4" width="24" hidden="0" customWidth="1"/>
    <x:col min="5" max="5" width="11" hidden="0" customWidth="1"/>
    <x:col min="6" max="6" width="11" hidden="0" customWidth="1"/>
    <x:col min="7" max="7" width="16" hidden="0" customWidth="1"/>
    <x:col min="8" max="8" width="18" hidden="0" customWidth="1"/>
    <x:col min="9" max="9" width="14" hidden="0" customWidth="1"/>
    <x:col min="10" max="10" width="22" hidden="0" customWidth="1"/>
    <x:col min="11" max="11" width="12" hidden="0" customWidth="1"/>
    <x:col min="12" max="12" width="33" hidden="0" customWidth="1"/>
    <x:col min="13" max="13" width="27" hidden="0" customWidth="1"/>
  </x:cols>
  <x:sheetData>
    <x:row r="1" ht="28" customHeight="1">
      <x:c r="A1" s="80" t="str">
        <x:v>100 MARKETS | Performance screen</x:v>
      </x:c>
      <x:c r="B1" s="80"/>
      <x:c r="C1" s="80"/>
      <x:c r="D1" s="80"/>
      <x:c r="E1" s="80"/>
      <x:c r="F1" s="80"/>
      <x:c r="G1" s="80"/>
      <x:c r="H1" s="80"/>
      <x:c r="I1" s="80"/>
      <x:c r="J1" s="80"/>
      <x:c r="K1" s="80"/>
      <x:c r="L1" s="80"/>
      <x:c r="M1" s="80"/>
    </x:row>
    <x:row r="2" ht="24" customHeight="1">
      <x:c r="A2" s="80"/>
      <x:c r="B2" s="80"/>
      <x:c r="C2" s="80"/>
      <x:c r="D2" s="80"/>
      <x:c r="E2" s="80"/>
      <x:c r="F2" s="80"/>
      <x:c r="G2" s="80"/>
      <x:c r="H2" s="80"/>
      <x:c r="I2" s="80"/>
      <x:c r="J2" s="80"/>
      <x:c r="K2" s="80"/>
      <x:c r="L2" s="80"/>
      <x:c r="M2" s="80"/>
    </x:row>
    <x:row r="3" ht="27" customHeight="1">
      <x:c r="A3" s="81" t="str">
        <x:v>Raw vendor benchmarks, not property forecasts. Missing data stay blank. Filter freely; use the ID to cross-reference other tabs. Legal status must be checked in Regulation.</x:v>
      </x:c>
      <x:c r="B3" s="81"/>
      <x:c r="C3" s="81"/>
      <x:c r="D3" s="81"/>
      <x:c r="E3" s="81"/>
      <x:c r="F3" s="81"/>
      <x:c r="G3" s="81"/>
      <x:c r="H3" s="81"/>
      <x:c r="I3" s="81"/>
      <x:c r="J3" s="81"/>
      <x:c r="K3" s="81"/>
      <x:c r="L3" s="81"/>
      <x:c r="M3" s="81"/>
    </x:row>
    <x:row r="4" ht="27" customHeight="1">
      <x:c r="A4" s="81"/>
      <x:c r="B4" s="81"/>
      <x:c r="C4" s="81"/>
      <x:c r="D4" s="81"/>
      <x:c r="E4" s="81"/>
      <x:c r="F4" s="81"/>
      <x:c r="G4" s="81"/>
      <x:c r="H4" s="81"/>
      <x:c r="I4" s="81"/>
      <x:c r="J4" s="81"/>
      <x:c r="K4" s="81"/>
      <x:c r="L4" s="81"/>
      <x:c r="M4" s="81"/>
    </x:row>
    <x:row r="5" ht="10" customHeight="1">
      <x:c r="A5" s="78"/>
      <x:c r="B5" s="78"/>
      <x:c r="C5" s="78"/>
      <x:c r="D5" s="78"/>
      <x:c r="E5" s="78"/>
      <x:c r="F5" s="78"/>
      <x:c r="G5" s="78"/>
      <x:c r="H5" s="78"/>
      <x:c r="I5" s="78"/>
      <x:c r="J5" s="78"/>
      <x:c r="K5" s="78"/>
      <x:c r="L5" s="78"/>
      <x:c r="M5" s="78"/>
    </x:row>
    <x:row r="6" ht="37" customHeight="1">
      <x:c r="A6" s="103" t="str">
        <x:v>ID</x:v>
      </x:c>
      <x:c r="B6" s="103" t="str">
        <x:v>Market</x:v>
      </x:c>
      <x:c r="C6" s="103" t="str">
        <x:v>State</x:v>
      </x:c>
      <x:c r="D6" s="103" t="str">
        <x:v>Market type</x:v>
      </x:c>
      <x:c r="E6" s="103" t="str">
        <x:v>ADR ($)</x:v>
      </x:c>
      <x:c r="F6" s="103" t="str">
        <x:v>Occupancy</x:v>
      </x:c>
      <x:c r="G6" s="103" t="str">
        <x:v>Annual revenue ($)</x:v>
      </x:c>
      <x:c r="H6" s="103" t="str">
        <x:v>Vendor RevPAR / RevPAN ($)</x:v>
      </x:c>
      <x:c r="I6" s="103" t="str">
        <x:v>Active listings</x:v>
      </x:c>
      <x:c r="J6" s="103" t="str">
        <x:v>Observation period</x:v>
      </x:c>
      <x:c r="K6" s="103" t="str">
        <x:v>Provider</x:v>
      </x:c>
      <x:c r="L6" s="103" t="str">
        <x:v>Data-quality flag</x:v>
      </x:c>
      <x:c r="M6" s="103" t="str">
        <x:v>Regulatory screen</x:v>
      </x:c>
    </x:row>
    <x:row r="7" ht="50" customHeight="1">
      <x:c r="A7" s="104" t="n">
        <x:v>1</x:v>
      </x:c>
      <x:c r="B7" s="105" t="str">
        <x:v>Sevierville</x:v>
      </x:c>
      <x:c r="C7" s="105" t="str">
        <x:v>TN</x:v>
      </x:c>
      <x:c r="D7" s="105" t="str">
        <x:v>Mountain</x:v>
      </x:c>
      <x:c r="E7" s="113" t="n">
        <x:v>363</x:v>
      </x:c>
      <x:c r="F7" s="112" t="n">
        <x:v>0.57</x:v>
      </x:c>
      <x:c r="G7" s="113" t="n">
        <x:v>69900</x:v>
      </x:c>
      <x:c r="H7" s="113" t="n">
        <x:v>207</x:v>
      </x:c>
      <x:c r="I7" s="114" t="n">
        <x:v>7592</x:v>
      </x:c>
      <x:c r="J7" s="105" t="str">
        <x:v>2026-07</x:v>
      </x:c>
      <x:c r="K7" s="105" t="str">
        <x:v>AirDNA</x:v>
      </x:c>
      <x:c r="L7" s="105" t="str">
        <x:v>LARGE SUPPLY CHANGE: CHECK COVERAGE</x:v>
      </x:c>
      <x:c r="M7" s="105" t="str">
        <x:v>Permit path identified</x:v>
      </x:c>
    </x:row>
    <x:row r="8" ht="50" customHeight="1">
      <x:c r="A8" s="104" t="n">
        <x:v>2</x:v>
      </x:c>
      <x:c r="B8" s="105" t="str">
        <x:v>Gatlinburg</x:v>
      </x:c>
      <x:c r="C8" s="105" t="str">
        <x:v>TN</x:v>
      </x:c>
      <x:c r="D8" s="105" t="str">
        <x:v>National park gateway</x:v>
      </x:c>
      <x:c r="E8" s="113" t="n">
        <x:v>340</x:v>
      </x:c>
      <x:c r="F8" s="112" t="n">
        <x:v>0.57</x:v>
      </x:c>
      <x:c r="G8" s="113" t="n">
        <x:v>66600</x:v>
      </x:c>
      <x:c r="H8" s="113" t="n">
        <x:v>195</x:v>
      </x:c>
      <x:c r="I8" s="114" t="n">
        <x:v>7258</x:v>
      </x:c>
      <x:c r="J8" s="105" t="str">
        <x:v>2026-08</x:v>
      </x:c>
      <x:c r="K8" s="105" t="str">
        <x:v>AirDNA</x:v>
      </x:c>
      <x:c r="L8" s="105" t="str">
        <x:v>SNAPSHOT VERSIONS DIFFER: REFRESH</x:v>
      </x:c>
      <x:c r="M8" s="105" t="str">
        <x:v>Partial jurisdiction review</x:v>
      </x:c>
    </x:row>
    <x:row r="9" ht="50" customHeight="1">
      <x:c r="A9" s="104" t="n">
        <x:v>3</x:v>
      </x:c>
      <x:c r="B9" s="105" t="str">
        <x:v>Pigeon Forge</x:v>
      </x:c>
      <x:c r="C9" s="105" t="str">
        <x:v>TN</x:v>
      </x:c>
      <x:c r="D9" s="105" t="str">
        <x:v>Family entertainment</x:v>
      </x:c>
      <x:c r="E9" s="113" t="n">
        <x:v>343</x:v>
      </x:c>
      <x:c r="F9" s="112" t="n">
        <x:v>0.56</x:v>
      </x:c>
      <x:c r="G9" s="113" t="n">
        <x:v>65300</x:v>
      </x:c>
      <x:c r="H9" s="113" t="n">
        <x:v>192</x:v>
      </x:c>
      <x:c r="I9" s="114" t="n">
        <x:v>3162</x:v>
      </x:c>
      <x:c r="J9" s="105" t="str">
        <x:v>2026-07</x:v>
      </x:c>
      <x:c r="K9" s="105" t="str">
        <x:v>AirDNA</x:v>
      </x:c>
      <x:c r="L9" s="105" t="str">
        <x:v>LARGE SUPPLY CHANGE: CHECK COVERAGE</x:v>
      </x:c>
      <x:c r="M9" s="105" t="str">
        <x:v>Partial jurisdiction review</x:v>
      </x:c>
    </x:row>
    <x:row r="10" ht="50" customHeight="1">
      <x:c r="A10" s="104" t="n">
        <x:v>4</x:v>
      </x:c>
      <x:c r="B10" s="105" t="str">
        <x:v>Blue Ridge</x:v>
      </x:c>
      <x:c r="C10" s="105" t="str">
        <x:v>GA</x:v>
      </x:c>
      <x:c r="D10" s="105" t="str">
        <x:v>Mountain</x:v>
      </x:c>
      <x:c r="E10" s="113" t="n">
        <x:v>357</x:v>
      </x:c>
      <x:c r="F10" s="112" t="n">
        <x:v>0.48</x:v>
      </x:c>
      <x:c r="G10" s="113" t="n">
        <x:v>57400</x:v>
      </x:c>
      <x:c r="H10" s="113" t="n">
        <x:v>170</x:v>
      </x:c>
      <x:c r="I10" s="114" t="n">
        <x:v>1632</x:v>
      </x:c>
      <x:c r="J10" s="105" t="str">
        <x:v>2026-08</x:v>
      </x:c>
      <x:c r="K10" s="105" t="str">
        <x:v>AirDNA</x:v>
      </x:c>
      <x:c r="L10" s="105" t="str">
        <x:v>LARGE SUPPLY CHANGE: CHECK COVERAGE</x:v>
      </x:c>
      <x:c r="M10" s="105" t="str">
        <x:v>Local review not completed</x:v>
      </x:c>
    </x:row>
    <x:row r="11" ht="50" customHeight="1">
      <x:c r="A11" s="104" t="n">
        <x:v>5</x:v>
      </x:c>
      <x:c r="B11" s="105" t="str">
        <x:v>Ellijay</x:v>
      </x:c>
      <x:c r="C11" s="105" t="str">
        <x:v>GA</x:v>
      </x:c>
      <x:c r="D11" s="105" t="str">
        <x:v>Mountain</x:v>
      </x:c>
      <x:c r="E11" s="113" t="n">
        <x:v>300</x:v>
      </x:c>
      <x:c r="F11" s="112" t="n">
        <x:v>0.46</x:v>
      </x:c>
      <x:c r="G11" s="113" t="n">
        <x:v>45900</x:v>
      </x:c>
      <x:c r="H11" s="113" t="n">
        <x:v>137</x:v>
      </x:c>
      <x:c r="I11" s="114" t="n">
        <x:v>683</x:v>
      </x:c>
      <x:c r="J11" s="105" t="str">
        <x:v>2026-08</x:v>
      </x:c>
      <x:c r="K11" s="105" t="str">
        <x:v>AirDNA</x:v>
      </x:c>
      <x:c r="L11" s="105" t="str">
        <x:v>LARGE SUPPLY CHANGE: CHECK COVERAGE</x:v>
      </x:c>
      <x:c r="M11" s="105" t="str">
        <x:v>Local review not completed</x:v>
      </x:c>
    </x:row>
    <x:row r="12" ht="50" customHeight="1">
      <x:c r="A12" s="104" t="n">
        <x:v>6</x:v>
      </x:c>
      <x:c r="B12" s="105" t="str">
        <x:v>Broken Bow</x:v>
      </x:c>
      <x:c r="C12" s="105" t="str">
        <x:v>OK</x:v>
      </x:c>
      <x:c r="D12" s="105" t="str">
        <x:v>Lake / cabin</x:v>
      </x:c>
      <x:c r="E12" s="113" t="n">
        <x:v>430</x:v>
      </x:c>
      <x:c r="F12" s="112" t="n">
        <x:v>0.45</x:v>
      </x:c>
      <x:c r="G12" s="113" t="n">
        <x:v>67400</x:v>
      </x:c>
      <x:c r="H12" s="113" t="n">
        <x:v>196</x:v>
      </x:c>
      <x:c r="I12" s="114" t="n">
        <x:v>3523</x:v>
      </x:c>
      <x:c r="J12" s="105" t="str">
        <x:v>2026-07</x:v>
      </x:c>
      <x:c r="K12" s="105" t="str">
        <x:v>AirDNA</x:v>
      </x:c>
      <x:c r="L12" s="105" t="str">
        <x:v>LARGE SUPPLY CHANGE: CHECK COVERAGE</x:v>
      </x:c>
      <x:c r="M12" s="105" t="str">
        <x:v>Local review not completed</x:v>
      </x:c>
    </x:row>
    <x:row r="13" ht="50" customHeight="1">
      <x:c r="A13" s="104" t="n">
        <x:v>7</x:v>
      </x:c>
      <x:c r="B13" s="105" t="str">
        <x:v>Branson</x:v>
      </x:c>
      <x:c r="C13" s="105" t="str">
        <x:v>MO</x:v>
      </x:c>
      <x:c r="D13" s="105" t="str">
        <x:v>Family entertainment</x:v>
      </x:c>
      <x:c r="E13" s="113" t="n">
        <x:v>247</x:v>
      </x:c>
      <x:c r="F13" s="112" t="n">
        <x:v>0.46</x:v>
      </x:c>
      <x:c r="G13" s="113" t="n">
        <x:v>25700</x:v>
      </x:c>
      <x:c r="H13" s="113" t="n">
        <x:v>115</x:v>
      </x:c>
      <x:c r="I13" s="114" t="n">
        <x:v>6996</x:v>
      </x:c>
      <x:c r="J13" s="105" t="str">
        <x:v>2026-07</x:v>
      </x:c>
      <x:c r="K13" s="105" t="str">
        <x:v>AirDNA</x:v>
      </x:c>
      <x:c r="L13" s="105" t="str">
        <x:v>Dated vendor benchmark; match property comps</x:v>
      </x:c>
      <x:c r="M13" s="105" t="str">
        <x:v>Local review not completed</x:v>
      </x:c>
    </x:row>
    <x:row r="14" ht="50" customHeight="1">
      <x:c r="A14" s="104" t="n">
        <x:v>8</x:v>
      </x:c>
      <x:c r="B14" s="105" t="str">
        <x:v>Hot Springs</x:v>
      </x:c>
      <x:c r="C14" s="105" t="str">
        <x:v>AR</x:v>
      </x:c>
      <x:c r="D14" s="105" t="str">
        <x:v>Lake / national park</x:v>
      </x:c>
      <x:c r="E14" s="113" t="n">
        <x:v>211</x:v>
      </x:c>
      <x:c r="F14" s="112" t="n">
        <x:v>0.22</x:v>
      </x:c>
      <x:c r="G14" s="113" t="n">
        <x:v>27191</x:v>
      </x:c>
      <x:c r="H14" s="113" t="n">
        <x:v>47</x:v>
      </x:c>
      <x:c r="I14" s="114" t="n">
        <x:v>745</x:v>
      </x:c>
      <x:c r="J14" s="105" t="str">
        <x:v>12-month average; as of 2026-04-27</x:v>
      </x:c>
      <x:c r="K14" s="105" t="str">
        <x:v>Rabbu</x:v>
      </x:c>
      <x:c r="L14" s="105" t="str">
        <x:v>Dated vendor benchmark; match property comps</x:v>
      </x:c>
      <x:c r="M14" s="105" t="str">
        <x:v>Local review not completed</x:v>
      </x:c>
    </x:row>
    <x:row r="15" ht="50" customHeight="1">
      <x:c r="A15" s="104" t="n">
        <x:v>9</x:v>
      </x:c>
      <x:c r="B15" s="105" t="str">
        <x:v>Gulf Shores</x:v>
      </x:c>
      <x:c r="C15" s="105" t="str">
        <x:v>AL</x:v>
      </x:c>
      <x:c r="D15" s="105" t="str">
        <x:v>Beach</x:v>
      </x:c>
      <x:c r="E15" s="113" t="n">
        <x:v>422</x:v>
      </x:c>
      <x:c r="F15" s="112" t="n">
        <x:v>0.56</x:v>
      </x:c>
      <x:c r="G15" s="113" t="n">
        <x:v>46800</x:v>
      </x:c>
      <x:c r="H15" s="113" t="n">
        <x:v>242</x:v>
      </x:c>
      <x:c r="I15" s="114" t="n">
        <x:v>9799</x:v>
      </x:c>
      <x:c r="J15" s="105" t="str">
        <x:v>2026-07</x:v>
      </x:c>
      <x:c r="K15" s="105" t="str">
        <x:v>AirDNA</x:v>
      </x:c>
      <x:c r="L15" s="105" t="str">
        <x:v>Dated vendor benchmark; match property comps</x:v>
      </x:c>
      <x:c r="M15" s="105" t="str">
        <x:v>Permit path identified</x:v>
      </x:c>
    </x:row>
    <x:row r="16" ht="50" customHeight="1">
      <x:c r="A16" s="104" t="n">
        <x:v>10</x:v>
      </x:c>
      <x:c r="B16" s="105" t="str">
        <x:v>Orange Beach</x:v>
      </x:c>
      <x:c r="C16" s="105" t="str">
        <x:v>AL</x:v>
      </x:c>
      <x:c r="D16" s="105" t="str">
        <x:v>Beach</x:v>
      </x:c>
      <x:c r="E16" s="113" t="n">
        <x:v>406</x:v>
      </x:c>
      <x:c r="F16" s="112" t="n">
        <x:v>0.61</x:v>
      </x:c>
      <x:c r="G16" s="113" t="n">
        <x:v>70500</x:v>
      </x:c>
      <x:c r="H16" s="113" t="n">
        <x:v>246</x:v>
      </x:c>
      <x:c r="I16" s="114" t="n">
        <x:v>2985</x:v>
      </x:c>
      <x:c r="J16" s="105" t="str">
        <x:v>2026-08</x:v>
      </x:c>
      <x:c r="K16" s="105" t="str">
        <x:v>AirDNA</x:v>
      </x:c>
      <x:c r="L16" s="105" t="str">
        <x:v>LARGE SUPPLY CHANGE: CHECK COVERAGE</x:v>
      </x:c>
      <x:c r="M16" s="105" t="str">
        <x:v>Local review not completed</x:v>
      </x:c>
    </x:row>
    <x:row r="17" ht="50" customHeight="1">
      <x:c r="A17" s="104" t="n">
        <x:v>11</x:v>
      </x:c>
      <x:c r="B17" s="105" t="str">
        <x:v>Panama City Beach</x:v>
      </x:c>
      <x:c r="C17" s="105" t="str">
        <x:v>FL</x:v>
      </x:c>
      <x:c r="D17" s="105" t="str">
        <x:v>Beach</x:v>
      </x:c>
      <x:c r="E17" s="113" t="n">
        <x:v>212</x:v>
      </x:c>
      <x:c r="F17" s="112" t="n">
        <x:v>0.38</x:v>
      </x:c>
      <x:c r="G17" s="113" t="n">
        <x:v>43040</x:v>
      </x:c>
      <x:c r="H17" s="113" t="n">
        <x:v>79</x:v>
      </x:c>
      <x:c r="I17" s="114" t="n">
        <x:v>2395</x:v>
      </x:c>
      <x:c r="J17" s="105" t="str">
        <x:v>12-month average; as of 2026-04-27</x:v>
      </x:c>
      <x:c r="K17" s="105" t="str">
        <x:v>Rabbu</x:v>
      </x:c>
      <x:c r="L17" s="105" t="str">
        <x:v>Dated vendor benchmark; match property comps</x:v>
      </x:c>
      <x:c r="M17" s="105" t="str">
        <x:v>Permit path identified</x:v>
      </x:c>
    </x:row>
    <x:row r="18" ht="50" customHeight="1">
      <x:c r="A18" s="104" t="n">
        <x:v>12</x:v>
      </x:c>
      <x:c r="B18" s="105" t="str">
        <x:v>Destin</x:v>
      </x:c>
      <x:c r="C18" s="105" t="str">
        <x:v>FL</x:v>
      </x:c>
      <x:c r="D18" s="105" t="str">
        <x:v>Beach</x:v>
      </x:c>
      <x:c r="E18" s="113" t="n">
        <x:v>446</x:v>
      </x:c>
      <x:c r="F18" s="112" t="n">
        <x:v>0.61</x:v>
      </x:c>
      <x:c r="G18" s="113" t="n">
        <x:v>75600</x:v>
      </x:c>
      <x:c r="H18" s="113" t="n">
        <x:v>274</x:v>
      </x:c>
      <x:c r="I18" s="114" t="n">
        <x:v>6198</x:v>
      </x:c>
      <x:c r="J18" s="105" t="str">
        <x:v>2026-07</x:v>
      </x:c>
      <x:c r="K18" s="105" t="str">
        <x:v>AirDNA</x:v>
      </x:c>
      <x:c r="L18" s="105" t="str">
        <x:v>Dated vendor benchmark; match property comps</x:v>
      </x:c>
      <x:c r="M18" s="105" t="str">
        <x:v>Local review not completed</x:v>
      </x:c>
    </x:row>
    <x:row r="19" ht="50" customHeight="1">
      <x:c r="A19" s="104" t="n">
        <x:v>13</x:v>
      </x:c>
      <x:c r="B19" s="105" t="str">
        <x:v>Fort Walton Beach</x:v>
      </x:c>
      <x:c r="C19" s="105" t="str">
        <x:v>FL</x:v>
      </x:c>
      <x:c r="D19" s="105" t="str">
        <x:v>Beach / military</x:v>
      </x:c>
      <x:c r="E19" s="113" t="n">
        <x:v>338</x:v>
      </x:c>
      <x:c r="F19" s="112" t="n">
        <x:v>0.6</x:v>
      </x:c>
      <x:c r="G19" s="113" t="n">
        <x:v>40600</x:v>
      </x:c>
      <x:c r="H19" s="113" t="n">
        <x:v>204</x:v>
      </x:c>
      <x:c r="I19" s="114" t="n">
        <x:v>4345</x:v>
      </x:c>
      <x:c r="J19" s="105" t="str">
        <x:v>2026-06</x:v>
      </x:c>
      <x:c r="K19" s="105" t="str">
        <x:v>AirDNA</x:v>
      </x:c>
      <x:c r="L19" s="105" t="str">
        <x:v>Dated vendor benchmark; match property comps</x:v>
      </x:c>
      <x:c r="M19" s="105" t="str">
        <x:v>Local review not completed</x:v>
      </x:c>
    </x:row>
    <x:row r="20" ht="50" customHeight="1">
      <x:c r="A20" s="104" t="n">
        <x:v>14</x:v>
      </x:c>
      <x:c r="B20" s="105" t="str">
        <x:v>Pensacola</x:v>
      </x:c>
      <x:c r="C20" s="105" t="str">
        <x:v>FL</x:v>
      </x:c>
      <x:c r="D20" s="105" t="str">
        <x:v>Beach / military</x:v>
      </x:c>
      <x:c r="E20" s="113" t="n">
        <x:v>321</x:v>
      </x:c>
      <x:c r="F20" s="112" t="n">
        <x:v>0.61</x:v>
      </x:c>
      <x:c r="G20" s="113" t="n">
        <x:v>57900</x:v>
      </x:c>
      <x:c r="H20" s="113" t="n">
        <x:v>197</x:v>
      </x:c>
      <x:c r="I20" s="114" t="n">
        <x:v>7844</x:v>
      </x:c>
      <x:c r="J20" s="105" t="str">
        <x:v>2026-08</x:v>
      </x:c>
      <x:c r="K20" s="105" t="str">
        <x:v>AirDNA</x:v>
      </x:c>
      <x:c r="L20" s="105" t="str">
        <x:v>LARGE SUPPLY CHANGE: CHECK COVERAGE</x:v>
      </x:c>
      <x:c r="M20" s="105" t="str">
        <x:v>Local review not completed</x:v>
      </x:c>
    </x:row>
    <x:row r="21" ht="50" customHeight="1">
      <x:c r="A21" s="104" t="n">
        <x:v>15</x:v>
      </x:c>
      <x:c r="B21" s="105" t="str">
        <x:v>Kissimmee</x:v>
      </x:c>
      <x:c r="C21" s="105" t="str">
        <x:v>FL</x:v>
      </x:c>
      <x:c r="D21" s="105" t="str">
        <x:v>Theme parks</x:v>
      </x:c>
      <x:c r="E21" s="113" t="n">
        <x:v>192</x:v>
      </x:c>
      <x:c r="F21" s="112" t="n">
        <x:v>0.57</x:v>
      </x:c>
      <x:c r="G21" s="113" t="n">
        <x:v>36838</x:v>
      </x:c>
      <x:c r="H21" s="113" t="n">
        <x:v>110</x:v>
      </x:c>
      <x:c r="I21" s="114" t="n">
        <x:v>8881</x:v>
      </x:c>
      <x:c r="J21" s="105" t="str">
        <x:v>Snapshot Apr 27, 2026; annual revenue historical 12-month average</x:v>
      </x:c>
      <x:c r="K21" s="105" t="str">
        <x:v>Rabbu</x:v>
      </x:c>
      <x:c r="L21" s="105" t="str">
        <x:v>ALTERNATE PROVIDER USED</x:v>
      </x:c>
      <x:c r="M21" s="105" t="str">
        <x:v>Local review not completed</x:v>
      </x:c>
    </x:row>
    <x:row r="22" ht="50" customHeight="1">
      <x:c r="A22" s="104" t="n">
        <x:v>16</x:v>
      </x:c>
      <x:c r="B22" s="105" t="str">
        <x:v>Davenport</x:v>
      </x:c>
      <x:c r="C22" s="105" t="str">
        <x:v>FL</x:v>
      </x:c>
      <x:c r="D22" s="105" t="str">
        <x:v>Theme parks</x:v>
      </x:c>
      <x:c r="E22" s="113" t="n">
        <x:v>191</x:v>
      </x:c>
      <x:c r="F22" s="112" t="n">
        <x:v>0.52</x:v>
      </x:c>
      <x:c r="G22" s="113" t="n">
        <x:v>39044</x:v>
      </x:c>
      <x:c r="H22" s="113" t="n">
        <x:v>98</x:v>
      </x:c>
      <x:c r="I22" s="114" t="n">
        <x:v>3653</x:v>
      </x:c>
      <x:c r="J22" s="105" t="str">
        <x:v>Snapshot Apr 27, 2026; annual revenue historical 12-month average</x:v>
      </x:c>
      <x:c r="K22" s="105" t="str">
        <x:v>Rabbu</x:v>
      </x:c>
      <x:c r="L22" s="105" t="str">
        <x:v>ALTERNATE PROVIDER USED</x:v>
      </x:c>
      <x:c r="M22" s="105" t="str">
        <x:v>Local review not completed</x:v>
      </x:c>
    </x:row>
    <x:row r="23" ht="50" customHeight="1">
      <x:c r="A23" s="104" t="n">
        <x:v>17</x:v>
      </x:c>
      <x:c r="B23" s="105" t="str">
        <x:v>St. Augustine</x:v>
      </x:c>
      <x:c r="C23" s="105" t="str">
        <x:v>FL</x:v>
      </x:c>
      <x:c r="D23" s="105" t="str">
        <x:v>Heritage / beach</x:v>
      </x:c>
      <x:c r="E23" s="113" t="n">
        <x:v>289</x:v>
      </x:c>
      <x:c r="F23" s="112" t="n">
        <x:v>0.55</x:v>
      </x:c>
      <x:c r="G23" s="113" t="n">
        <x:v>34500</x:v>
      </x:c>
      <x:c r="H23" s="113" t="n">
        <x:v>158</x:v>
      </x:c>
      <x:c r="I23" s="114" t="n">
        <x:v>7068</x:v>
      </x:c>
      <x:c r="J23" s="105" t="str">
        <x:v>2026-06</x:v>
      </x:c>
      <x:c r="K23" s="105" t="str">
        <x:v>AirDNA</x:v>
      </x:c>
      <x:c r="L23" s="105" t="str">
        <x:v>Dated vendor benchmark; match property comps</x:v>
      </x:c>
      <x:c r="M23" s="105" t="str">
        <x:v>Local review not completed</x:v>
      </x:c>
    </x:row>
    <x:row r="24" ht="50" customHeight="1">
      <x:c r="A24" s="104" t="n">
        <x:v>18</x:v>
      </x:c>
      <x:c r="B24" s="105" t="str">
        <x:v>Crystal River</x:v>
      </x:c>
      <x:c r="C24" s="105" t="str">
        <x:v>FL</x:v>
      </x:c>
      <x:c r="D24" s="105" t="str">
        <x:v>Nature / waterfront</x:v>
      </x:c>
      <x:c r="E24" s="113" t="n">
        <x:v>231</x:v>
      </x:c>
      <x:c r="F24" s="112" t="n">
        <x:v>0.5</x:v>
      </x:c>
      <x:c r="G24" s="113" t="n">
        <x:v>25000</x:v>
      </x:c>
      <x:c r="H24" s="113" t="n">
        <x:v>115</x:v>
      </x:c>
      <x:c r="I24" s="114" t="n">
        <x:v>625</x:v>
      </x:c>
      <x:c r="J24" s="105" t="str">
        <x:v>2026-07</x:v>
      </x:c>
      <x:c r="K24" s="105" t="str">
        <x:v>AirDNA</x:v>
      </x:c>
      <x:c r="L24" s="105" t="str">
        <x:v>Dated vendor benchmark; match property comps</x:v>
      </x:c>
      <x:c r="M24" s="105" t="str">
        <x:v>Local review not completed</x:v>
      </x:c>
    </x:row>
    <x:row r="25" ht="50" customHeight="1">
      <x:c r="A25" s="104" t="n">
        <x:v>19</x:v>
      </x:c>
      <x:c r="B25" s="105" t="str">
        <x:v>Cape Coral</x:v>
      </x:c>
      <x:c r="C25" s="105" t="str">
        <x:v>FL</x:v>
      </x:c>
      <x:c r="D25" s="105" t="str">
        <x:v>Waterfront</x:v>
      </x:c>
      <x:c r="E25" s="113" t="n">
        <x:v>264</x:v>
      </x:c>
      <x:c r="F25" s="112" t="n">
        <x:v>0.55</x:v>
      </x:c>
      <x:c r="G25" s="113" t="n">
        <x:v>23300</x:v>
      </x:c>
      <x:c r="H25" s="113" t="n">
        <x:v>142</x:v>
      </x:c>
      <x:c r="I25" s="114" t="n">
        <x:v>7842</x:v>
      </x:c>
      <x:c r="J25" s="105" t="str">
        <x:v>2026-07</x:v>
      </x:c>
      <x:c r="K25" s="105" t="str">
        <x:v>AirDNA</x:v>
      </x:c>
      <x:c r="L25" s="105" t="str">
        <x:v>Dated vendor benchmark; match property comps</x:v>
      </x:c>
      <x:c r="M25" s="105" t="str">
        <x:v>Permit path identified</x:v>
      </x:c>
    </x:row>
    <x:row r="26" ht="50" customHeight="1">
      <x:c r="A26" s="104" t="n">
        <x:v>20</x:v>
      </x:c>
      <x:c r="B26" s="105" t="str">
        <x:v>Fort Lauderdale</x:v>
      </x:c>
      <x:c r="C26" s="105" t="str">
        <x:v>FL</x:v>
      </x:c>
      <x:c r="D26" s="105" t="str">
        <x:v>Beach / business</x:v>
      </x:c>
      <x:c r="E26" s="113" t="n">
        <x:v>325</x:v>
      </x:c>
      <x:c r="F26" s="112" t="n">
        <x:v>0.54</x:v>
      </x:c>
      <x:c r="G26" s="113" t="n">
        <x:v>33300</x:v>
      </x:c>
      <x:c r="H26" s="113" t="n">
        <x:v>163</x:v>
      </x:c>
      <x:c r="I26" s="114" t="n">
        <x:v>10758</x:v>
      </x:c>
      <x:c r="J26" s="105" t="str">
        <x:v>2026-07</x:v>
      </x:c>
      <x:c r="K26" s="105" t="str">
        <x:v>AirDNA</x:v>
      </x:c>
      <x:c r="L26" s="105" t="str">
        <x:v>Dated vendor benchmark; match property comps</x:v>
      </x:c>
      <x:c r="M26" s="105" t="str">
        <x:v>Permit path identified</x:v>
      </x:c>
    </x:row>
    <x:row r="27" ht="50" customHeight="1">
      <x:c r="A27" s="104" t="n">
        <x:v>21</x:v>
      </x:c>
      <x:c r="B27" s="105" t="str">
        <x:v>Myrtle Beach</x:v>
      </x:c>
      <x:c r="C27" s="105" t="str">
        <x:v>SC</x:v>
      </x:c>
      <x:c r="D27" s="105" t="str">
        <x:v>Beach / golf</x:v>
      </x:c>
      <x:c r="E27" s="113" t="n">
        <x:v>280</x:v>
      </x:c>
      <x:c r="F27" s="112" t="n">
        <x:v>0.55</x:v>
      </x:c>
      <x:c r="G27" s="113" t="n">
        <x:v>43000</x:v>
      </x:c>
      <x:c r="H27" s="113" t="n">
        <x:v>153</x:v>
      </x:c>
      <x:c r="I27" s="114" t="n">
        <x:v>19014</x:v>
      </x:c>
      <x:c r="J27" s="105" t="str">
        <x:v>2026-08</x:v>
      </x:c>
      <x:c r="K27" s="105" t="str">
        <x:v>AirDNA</x:v>
      </x:c>
      <x:c r="L27" s="105" t="str">
        <x:v>Dated vendor benchmark; match property comps</x:v>
      </x:c>
      <x:c r="M27" s="105" t="str">
        <x:v>Local review not completed</x:v>
      </x:c>
    </x:row>
    <x:row r="28" ht="50" customHeight="1">
      <x:c r="A28" s="104" t="n">
        <x:v>22</x:v>
      </x:c>
      <x:c r="B28" s="105" t="str">
        <x:v>North Myrtle Beach</x:v>
      </x:c>
      <x:c r="C28" s="105" t="str">
        <x:v>SC</x:v>
      </x:c>
      <x:c r="D28" s="105" t="str">
        <x:v>Beach / golf</x:v>
      </x:c>
      <x:c r="E28" s="113" t="n">
        <x:v>374</x:v>
      </x:c>
      <x:c r="F28" s="112" t="n">
        <x:v>0.55</x:v>
      </x:c>
      <x:c r="G28" s="113" t="n">
        <x:v>33700</x:v>
      </x:c>
      <x:c r="H28" s="113" t="n">
        <x:v>203</x:v>
      </x:c>
      <x:c r="I28" s="114" t="n">
        <x:v>9579</x:v>
      </x:c>
      <x:c r="J28" s="105" t="str">
        <x:v>2026-06</x:v>
      </x:c>
      <x:c r="K28" s="105" t="str">
        <x:v>AirDNA</x:v>
      </x:c>
      <x:c r="L28" s="105" t="str">
        <x:v>Dated vendor benchmark; match property comps</x:v>
      </x:c>
      <x:c r="M28" s="105" t="str">
        <x:v>Local review not completed</x:v>
      </x:c>
    </x:row>
    <x:row r="29" ht="50" customHeight="1">
      <x:c r="A29" s="104" t="n">
        <x:v>23</x:v>
      </x:c>
      <x:c r="B29" s="105" t="str">
        <x:v>Hilton Head Island</x:v>
      </x:c>
      <x:c r="C29" s="105" t="str">
        <x:v>SC</x:v>
      </x:c>
      <x:c r="D29" s="105" t="str">
        <x:v>Beach / golf</x:v>
      </x:c>
      <x:c r="E29" s="113" t="n">
        <x:v>422</x:v>
      </x:c>
      <x:c r="F29" s="112" t="n">
        <x:v>0.59</x:v>
      </x:c>
      <x:c r="G29" s="113" t="n">
        <x:v>69800</x:v>
      </x:c>
      <x:c r="H29" s="113" t="n">
        <x:v>249</x:v>
      </x:c>
      <x:c r="I29" s="114" t="n">
        <x:v>7638</x:v>
      </x:c>
      <x:c r="J29" s="105" t="str">
        <x:v>2026-08</x:v>
      </x:c>
      <x:c r="K29" s="105" t="str">
        <x:v>AirDNA</x:v>
      </x:c>
      <x:c r="L29" s="105" t="str">
        <x:v>LARGE SUPPLY CHANGE: CHECK COVERAGE</x:v>
      </x:c>
      <x:c r="M29" s="105" t="str">
        <x:v>Local review not completed</x:v>
      </x:c>
    </x:row>
    <x:row r="30" ht="50" customHeight="1">
      <x:c r="A30" s="104" t="n">
        <x:v>24</x:v>
      </x:c>
      <x:c r="B30" s="105" t="str">
        <x:v>Charleston</x:v>
      </x:c>
      <x:c r="C30" s="105" t="str">
        <x:v>SC</x:v>
      </x:c>
      <x:c r="D30" s="105" t="str">
        <x:v>Heritage / business</x:v>
      </x:c>
      <x:c r="E30" s="113" t="n">
        <x:v>430</x:v>
      </x:c>
      <x:c r="F30" s="112" t="n">
        <x:v>0.63</x:v>
      </x:c>
      <x:c r="G30" s="113" t="n">
        <x:v>86100</x:v>
      </x:c>
      <x:c r="H30" s="113" t="n">
        <x:v>272</x:v>
      </x:c>
      <x:c r="I30" s="114" t="n">
        <x:v>8674</x:v>
      </x:c>
      <x:c r="J30" s="105" t="str">
        <x:v>2026-08</x:v>
      </x:c>
      <x:c r="K30" s="105" t="str">
        <x:v>AirDNA</x:v>
      </x:c>
      <x:c r="L30" s="105" t="str">
        <x:v>LARGE SUPPLY CHANGE: CHECK COVERAGE</x:v>
      </x:c>
      <x:c r="M30" s="105" t="str">
        <x:v>Restricted / location-dependent</x:v>
      </x:c>
    </x:row>
    <x:row r="31" ht="50" customHeight="1">
      <x:c r="A31" s="104" t="n">
        <x:v>25</x:v>
      </x:c>
      <x:c r="B31" s="105" t="str">
        <x:v>Wilmington</x:v>
      </x:c>
      <x:c r="C31" s="105" t="str">
        <x:v>NC</x:v>
      </x:c>
      <x:c r="D31" s="105" t="str">
        <x:v>Coastal / business</x:v>
      </x:c>
      <x:c r="E31" s="113" t="n">
        <x:v>167</x:v>
      </x:c>
      <x:c r="F31" s="112" t="n">
        <x:v>0.32</x:v>
      </x:c>
      <x:c r="G31" s="113"/>
      <x:c r="H31" s="113" t="n">
        <x:v>53</x:v>
      </x:c>
      <x:c r="I31" s="114" t="n">
        <x:v>791</x:v>
      </x:c>
      <x:c r="J31" s="105" t="str">
        <x:v>Snapshot Mar 15, 2026; revenue is seasonalized projection</x:v>
      </x:c>
      <x:c r="K31" s="105" t="str">
        <x:v>Rabbu</x:v>
      </x:c>
      <x:c r="L31" s="105" t="str">
        <x:v>ANNUAL FIGURE IS A PROJECTION; ALTERNATE PROVIDER USED</x:v>
      </x:c>
      <x:c r="M31" s="105" t="str">
        <x:v>Local review not completed</x:v>
      </x:c>
    </x:row>
    <x:row r="32" ht="50" customHeight="1">
      <x:c r="A32" s="104" t="n">
        <x:v>26</x:v>
      </x:c>
      <x:c r="B32" s="105" t="str">
        <x:v>Carolina Beach</x:v>
      </x:c>
      <x:c r="C32" s="105" t="str">
        <x:v>NC</x:v>
      </x:c>
      <x:c r="D32" s="105" t="str">
        <x:v>Beach</x:v>
      </x:c>
      <x:c r="E32" s="113" t="n">
        <x:v>365</x:v>
      </x:c>
      <x:c r="F32" s="112" t="n">
        <x:v>0.56</x:v>
      </x:c>
      <x:c r="G32" s="113" t="n">
        <x:v>55400</x:v>
      </x:c>
      <x:c r="H32" s="113" t="n">
        <x:v>203</x:v>
      </x:c>
      <x:c r="I32" s="114" t="n">
        <x:v>2774</x:v>
      </x:c>
      <x:c r="J32" s="105" t="str">
        <x:v>2026-08</x:v>
      </x:c>
      <x:c r="K32" s="105" t="str">
        <x:v>AirDNA</x:v>
      </x:c>
      <x:c r="L32" s="105" t="str">
        <x:v>Dated vendor benchmark; match property comps</x:v>
      </x:c>
      <x:c r="M32" s="105" t="str">
        <x:v>Local review not completed</x:v>
      </x:c>
    </x:row>
    <x:row r="33" ht="50" customHeight="1">
      <x:c r="A33" s="104" t="n">
        <x:v>27</x:v>
      </x:c>
      <x:c r="B33" s="105" t="str">
        <x:v>Oak Island</x:v>
      </x:c>
      <x:c r="C33" s="105" t="str">
        <x:v>NC</x:v>
      </x:c>
      <x:c r="D33" s="105" t="str">
        <x:v>Beach</x:v>
      </x:c>
      <x:c r="E33" s="113" t="n">
        <x:v>478.5</x:v>
      </x:c>
      <x:c r="F33" s="112" t="n">
        <x:v>0.54</x:v>
      </x:c>
      <x:c r="G33" s="113" t="n">
        <x:v>41300</x:v>
      </x:c>
      <x:c r="H33" s="113" t="n">
        <x:v>257.1</x:v>
      </x:c>
      <x:c r="I33" s="114" t="n">
        <x:v>2482</x:v>
      </x:c>
      <x:c r="J33" s="105" t="str">
        <x:v>Not disclosed</x:v>
      </x:c>
      <x:c r="K33" s="105" t="str">
        <x:v>AirDNA</x:v>
      </x:c>
      <x:c r="L33" s="105" t="str">
        <x:v>UNDATED SNAPSHOT</x:v>
      </x:c>
      <x:c r="M33" s="105" t="str">
        <x:v>Local review not completed</x:v>
      </x:c>
    </x:row>
    <x:row r="34" ht="50" customHeight="1">
      <x:c r="A34" s="104" t="n">
        <x:v>28</x:v>
      </x:c>
      <x:c r="B34" s="105" t="str">
        <x:v>Nags Head</x:v>
      </x:c>
      <x:c r="C34" s="105" t="str">
        <x:v>NC</x:v>
      </x:c>
      <x:c r="D34" s="105" t="str">
        <x:v>Beach</x:v>
      </x:c>
      <x:c r="E34" s="113" t="n">
        <x:v>487</x:v>
      </x:c>
      <x:c r="F34" s="112" t="n">
        <x:v>0.61</x:v>
      </x:c>
      <x:c r="G34" s="113" t="n">
        <x:v>69200</x:v>
      </x:c>
      <x:c r="H34" s="113" t="n">
        <x:v>297</x:v>
      </x:c>
      <x:c r="I34" s="114" t="n">
        <x:v>1614</x:v>
      </x:c>
      <x:c r="J34" s="105" t="str">
        <x:v>2026-07</x:v>
      </x:c>
      <x:c r="K34" s="105" t="str">
        <x:v>AirDNA</x:v>
      </x:c>
      <x:c r="L34" s="105" t="str">
        <x:v>Dated vendor benchmark; match property comps</x:v>
      </x:c>
      <x:c r="M34" s="105" t="str">
        <x:v>Local review not completed</x:v>
      </x:c>
    </x:row>
    <x:row r="35" ht="50" customHeight="1">
      <x:c r="A35" s="104" t="n">
        <x:v>29</x:v>
      </x:c>
      <x:c r="B35" s="105" t="str">
        <x:v>Kill Devil Hills</x:v>
      </x:c>
      <x:c r="C35" s="105" t="str">
        <x:v>NC</x:v>
      </x:c>
      <x:c r="D35" s="105" t="str">
        <x:v>Beach</x:v>
      </x:c>
      <x:c r="E35" s="113" t="n">
        <x:v>386</x:v>
      </x:c>
      <x:c r="F35" s="112" t="n">
        <x:v>0.57</x:v>
      </x:c>
      <x:c r="G35" s="113" t="n">
        <x:v>34600</x:v>
      </x:c>
      <x:c r="H35" s="113" t="n">
        <x:v>225</x:v>
      </x:c>
      <x:c r="I35" s="114" t="n">
        <x:v>2192</x:v>
      </x:c>
      <x:c r="J35" s="105" t="str">
        <x:v>2026-07</x:v>
      </x:c>
      <x:c r="K35" s="105" t="str">
        <x:v>AirDNA</x:v>
      </x:c>
      <x:c r="L35" s="105" t="str">
        <x:v>Dated vendor benchmark; match property comps</x:v>
      </x:c>
      <x:c r="M35" s="105" t="str">
        <x:v>Local review not completed</x:v>
      </x:c>
    </x:row>
    <x:row r="36" ht="50" customHeight="1">
      <x:c r="A36" s="104" t="n">
        <x:v>30</x:v>
      </x:c>
      <x:c r="B36" s="105" t="str">
        <x:v>Corolla</x:v>
      </x:c>
      <x:c r="C36" s="105" t="str">
        <x:v>NC</x:v>
      </x:c>
      <x:c r="D36" s="105" t="str">
        <x:v>Beach</x:v>
      </x:c>
      <x:c r="E36" s="113" t="n">
        <x:v>580</x:v>
      </x:c>
      <x:c r="F36" s="112" t="n">
        <x:v>0.59</x:v>
      </x:c>
      <x:c r="G36" s="113" t="n">
        <x:v>69700</x:v>
      </x:c>
      <x:c r="H36" s="113" t="n">
        <x:v>342</x:v>
      </x:c>
      <x:c r="I36" s="114" t="n">
        <x:v>1836</x:v>
      </x:c>
      <x:c r="J36" s="105" t="str">
        <x:v>2026-07</x:v>
      </x:c>
      <x:c r="K36" s="105" t="str">
        <x:v>AirDNA</x:v>
      </x:c>
      <x:c r="L36" s="105" t="str">
        <x:v>LARGE SUPPLY CHANGE: CHECK COVERAGE</x:v>
      </x:c>
      <x:c r="M36" s="105" t="str">
        <x:v>Local review not completed</x:v>
      </x:c>
    </x:row>
    <x:row r="37" ht="50" customHeight="1">
      <x:c r="A37" s="104" t="n">
        <x:v>31</x:v>
      </x:c>
      <x:c r="B37" s="105" t="str">
        <x:v>Boone</x:v>
      </x:c>
      <x:c r="C37" s="105" t="str">
        <x:v>NC</x:v>
      </x:c>
      <x:c r="D37" s="105" t="str">
        <x:v>Mountain / college</x:v>
      </x:c>
      <x:c r="E37" s="113" t="n">
        <x:v>336</x:v>
      </x:c>
      <x:c r="F37" s="112" t="n">
        <x:v>0.47</x:v>
      </x:c>
      <x:c r="G37" s="113" t="n">
        <x:v>35900</x:v>
      </x:c>
      <x:c r="H37" s="113" t="n">
        <x:v>148</x:v>
      </x:c>
      <x:c r="I37" s="114" t="n">
        <x:v>950</x:v>
      </x:c>
      <x:c r="J37" s="105" t="str">
        <x:v>2026-07</x:v>
      </x:c>
      <x:c r="K37" s="105" t="str">
        <x:v>AirDNA</x:v>
      </x:c>
      <x:c r="L37" s="105" t="str">
        <x:v>Dated vendor benchmark; match property comps</x:v>
      </x:c>
      <x:c r="M37" s="105" t="str">
        <x:v>Local review not completed</x:v>
      </x:c>
    </x:row>
    <x:row r="38" ht="50" customHeight="1">
      <x:c r="A38" s="104" t="n">
        <x:v>32</x:v>
      </x:c>
      <x:c r="B38" s="105" t="str">
        <x:v>Banner Elk</x:v>
      </x:c>
      <x:c r="C38" s="105" t="str">
        <x:v>NC</x:v>
      </x:c>
      <x:c r="D38" s="105" t="str">
        <x:v>Mountain / ski</x:v>
      </x:c>
      <x:c r="E38" s="113" t="n">
        <x:v>342</x:v>
      </x:c>
      <x:c r="F38" s="112" t="n">
        <x:v>0.41</x:v>
      </x:c>
      <x:c r="G38" s="113" t="n">
        <x:v>26800</x:v>
      </x:c>
      <x:c r="H38" s="113" t="n">
        <x:v>135</x:v>
      </x:c>
      <x:c r="I38" s="114" t="n">
        <x:v>3222</x:v>
      </x:c>
      <x:c r="J38" s="105" t="str">
        <x:v>2026-07</x:v>
      </x:c>
      <x:c r="K38" s="105" t="str">
        <x:v>AirDNA</x:v>
      </x:c>
      <x:c r="L38" s="105" t="str">
        <x:v>Dated vendor benchmark; match property comps</x:v>
      </x:c>
      <x:c r="M38" s="105" t="str">
        <x:v>Local review not completed</x:v>
      </x:c>
    </x:row>
    <x:row r="39" ht="50" customHeight="1">
      <x:c r="A39" s="104" t="n">
        <x:v>33</x:v>
      </x:c>
      <x:c r="B39" s="105" t="str">
        <x:v>Bryson City</x:v>
      </x:c>
      <x:c r="C39" s="105" t="str">
        <x:v>NC</x:v>
      </x:c>
      <x:c r="D39" s="105" t="str">
        <x:v>National park gateway</x:v>
      </x:c>
      <x:c r="E39" s="113" t="n">
        <x:v>252</x:v>
      </x:c>
      <x:c r="F39" s="112" t="n">
        <x:v>0.49</x:v>
      </x:c>
      <x:c r="G39" s="113" t="n">
        <x:v>31200</x:v>
      </x:c>
      <x:c r="H39" s="113" t="n">
        <x:v>121</x:v>
      </x:c>
      <x:c r="I39" s="114" t="n">
        <x:v>1417</x:v>
      </x:c>
      <x:c r="J39" s="105" t="str">
        <x:v>2026-07</x:v>
      </x:c>
      <x:c r="K39" s="105" t="str">
        <x:v>AirDNA</x:v>
      </x:c>
      <x:c r="L39" s="105" t="str">
        <x:v>Dated vendor benchmark; match property comps</x:v>
      </x:c>
      <x:c r="M39" s="105" t="str">
        <x:v>Local review not completed</x:v>
      </x:c>
    </x:row>
    <x:row r="40" ht="50" customHeight="1">
      <x:c r="A40" s="104" t="n">
        <x:v>34</x:v>
      </x:c>
      <x:c r="B40" s="105" t="str">
        <x:v>Asheville</x:v>
      </x:c>
      <x:c r="C40" s="105" t="str">
        <x:v>NC</x:v>
      </x:c>
      <x:c r="D40" s="105" t="str">
        <x:v>Mountain / urban</x:v>
      </x:c>
      <x:c r="E40" s="113" t="n">
        <x:v>227</x:v>
      </x:c>
      <x:c r="F40" s="112" t="n">
        <x:v>0.56</x:v>
      </x:c>
      <x:c r="G40" s="113" t="n">
        <x:v>28500</x:v>
      </x:c>
      <x:c r="H40" s="113" t="n">
        <x:v>119</x:v>
      </x:c>
      <x:c r="I40" s="114" t="n">
        <x:v>3072</x:v>
      </x:c>
      <x:c r="J40" s="105" t="str">
        <x:v>2026-07</x:v>
      </x:c>
      <x:c r="K40" s="105" t="str">
        <x:v>AirDNA</x:v>
      </x:c>
      <x:c r="L40" s="105" t="str">
        <x:v>Dated vendor benchmark; match property comps</x:v>
      </x:c>
      <x:c r="M40" s="105" t="str">
        <x:v>Restricted / location-dependent</x:v>
      </x:c>
    </x:row>
    <x:row r="41" ht="50" customHeight="1">
      <x:c r="A41" s="104" t="n">
        <x:v>35</x:v>
      </x:c>
      <x:c r="B41" s="105" t="str">
        <x:v>Luray</x:v>
      </x:c>
      <x:c r="C41" s="105" t="str">
        <x:v>VA</x:v>
      </x:c>
      <x:c r="D41" s="105" t="str">
        <x:v>National park gateway</x:v>
      </x:c>
      <x:c r="E41" s="113" t="n">
        <x:v>270.9</x:v>
      </x:c>
      <x:c r="F41" s="112" t="n">
        <x:v>0.46</x:v>
      </x:c>
      <x:c r="G41" s="113" t="n">
        <x:v>33900</x:v>
      </x:c>
      <x:c r="H41" s="113" t="n">
        <x:v>127</x:v>
      </x:c>
      <x:c r="I41" s="114" t="n">
        <x:v>565</x:v>
      </x:c>
      <x:c r="J41" s="105" t="str">
        <x:v>Not disclosed</x:v>
      </x:c>
      <x:c r="K41" s="105" t="str">
        <x:v>AirDNA</x:v>
      </x:c>
      <x:c r="L41" s="105" t="str">
        <x:v>UNDATED SNAPSHOT</x:v>
      </x:c>
      <x:c r="M41" s="105" t="str">
        <x:v>Local review not completed</x:v>
      </x:c>
    </x:row>
    <x:row r="42" ht="50" customHeight="1">
      <x:c r="A42" s="104" t="n">
        <x:v>36</x:v>
      </x:c>
      <x:c r="B42" s="105" t="str">
        <x:v>Front Royal</x:v>
      </x:c>
      <x:c r="C42" s="105" t="str">
        <x:v>VA</x:v>
      </x:c>
      <x:c r="D42" s="105" t="str">
        <x:v>National park gateway</x:v>
      </x:c>
      <x:c r="E42" s="113" t="n">
        <x:v>268</x:v>
      </x:c>
      <x:c r="F42" s="112" t="n">
        <x:v>0.47</x:v>
      </x:c>
      <x:c r="G42" s="113" t="n">
        <x:v>33500</x:v>
      </x:c>
      <x:c r="H42" s="113" t="n">
        <x:v>129</x:v>
      </x:c>
      <x:c r="I42" s="114" t="n">
        <x:v>237</x:v>
      </x:c>
      <x:c r="J42" s="105" t="str">
        <x:v>2026-07</x:v>
      </x:c>
      <x:c r="K42" s="105" t="str">
        <x:v>AirDNA</x:v>
      </x:c>
      <x:c r="L42" s="105" t="str">
        <x:v>Dated vendor benchmark; match property comps</x:v>
      </x:c>
      <x:c r="M42" s="105" t="str">
        <x:v>Local review not completed</x:v>
      </x:c>
    </x:row>
    <x:row r="43" ht="50" customHeight="1">
      <x:c r="A43" s="104" t="n">
        <x:v>37</x:v>
      </x:c>
      <x:c r="B43" s="105" t="str">
        <x:v>Massanutten</x:v>
      </x:c>
      <x:c r="C43" s="105" t="str">
        <x:v>VA</x:v>
      </x:c>
      <x:c r="D43" s="105" t="str">
        <x:v>Mountain resort</x:v>
      </x:c>
      <x:c r="E43" s="113"/>
      <x:c r="F43" s="112"/>
      <x:c r="G43" s="113"/>
      <x:c r="H43" s="113"/>
      <x:c r="I43" s="114"/>
      <x:c r="J43" s="105" t="str">
        <x:v>Unavailable</x:v>
      </x:c>
      <x:c r="K43" s="105" t="str">
        <x:v>No usable public benchmark retrieved</x:v>
      </x:c>
      <x:c r="L43" s="105" t="str">
        <x:v>NO STR BENCHMARK</x:v>
      </x:c>
      <x:c r="M43" s="105" t="str">
        <x:v>Local review not completed</x:v>
      </x:c>
    </x:row>
    <x:row r="44" ht="50" customHeight="1">
      <x:c r="A44" s="104" t="n">
        <x:v>38</x:v>
      </x:c>
      <x:c r="B44" s="105" t="str">
        <x:v>Stowe</x:v>
      </x:c>
      <x:c r="C44" s="105" t="str">
        <x:v>VT</x:v>
      </x:c>
      <x:c r="D44" s="105" t="str">
        <x:v>Mountain / ski</x:v>
      </x:c>
      <x:c r="E44" s="113" t="n">
        <x:v>595</x:v>
      </x:c>
      <x:c r="F44" s="112" t="n">
        <x:v>0.44</x:v>
      </x:c>
      <x:c r="G44" s="113" t="n">
        <x:v>43500</x:v>
      </x:c>
      <x:c r="H44" s="113" t="n">
        <x:v>245.8</x:v>
      </x:c>
      <x:c r="I44" s="114" t="n">
        <x:v>1488</x:v>
      </x:c>
      <x:c r="J44" s="105" t="str">
        <x:v>Not disclosed</x:v>
      </x:c>
      <x:c r="K44" s="105" t="str">
        <x:v>AirDNA</x:v>
      </x:c>
      <x:c r="L44" s="105" t="str">
        <x:v>UNDATED SNAPSHOT</x:v>
      </x:c>
      <x:c r="M44" s="105" t="str">
        <x:v>Local review not completed</x:v>
      </x:c>
    </x:row>
    <x:row r="45" ht="50" customHeight="1">
      <x:c r="A45" s="104" t="n">
        <x:v>39</x:v>
      </x:c>
      <x:c r="B45" s="105" t="str">
        <x:v>Tobyhanna</x:v>
      </x:c>
      <x:c r="C45" s="105" t="str">
        <x:v>PA</x:v>
      </x:c>
      <x:c r="D45" s="105" t="str">
        <x:v>Lake / cabin</x:v>
      </x:c>
      <x:c r="E45" s="113" t="n">
        <x:v>387</x:v>
      </x:c>
      <x:c r="F45" s="112" t="n">
        <x:v>0.39</x:v>
      </x:c>
      <x:c r="G45" s="113" t="n">
        <x:v>31600</x:v>
      </x:c>
      <x:c r="H45" s="113" t="n">
        <x:v>150</x:v>
      </x:c>
      <x:c r="I45" s="114" t="n">
        <x:v>1030</x:v>
      </x:c>
      <x:c r="J45" s="105" t="str">
        <x:v>2026-07</x:v>
      </x:c>
      <x:c r="K45" s="105" t="str">
        <x:v>AirDNA</x:v>
      </x:c>
      <x:c r="L45" s="105" t="str">
        <x:v>Dated vendor benchmark; match property comps</x:v>
      </x:c>
      <x:c r="M45" s="105" t="str">
        <x:v>Local review not completed</x:v>
      </x:c>
    </x:row>
    <x:row r="46" ht="50" customHeight="1">
      <x:c r="A46" s="104" t="n">
        <x:v>40</x:v>
      </x:c>
      <x:c r="B46" s="105" t="str">
        <x:v>Pocono Pines</x:v>
      </x:c>
      <x:c r="C46" s="105" t="str">
        <x:v>PA</x:v>
      </x:c>
      <x:c r="D46" s="105" t="str">
        <x:v>Lake / cabin</x:v>
      </x:c>
      <x:c r="E46" s="113" t="n">
        <x:v>400</x:v>
      </x:c>
      <x:c r="F46" s="112" t="n">
        <x:v>0.38</x:v>
      </x:c>
      <x:c r="G46" s="113" t="n">
        <x:v>28300</x:v>
      </x:c>
      <x:c r="H46" s="113" t="n">
        <x:v>144</x:v>
      </x:c>
      <x:c r="I46" s="114" t="n">
        <x:v>295</x:v>
      </x:c>
      <x:c r="J46" s="105" t="str">
        <x:v>2026-06</x:v>
      </x:c>
      <x:c r="K46" s="105" t="str">
        <x:v>AirDNA</x:v>
      </x:c>
      <x:c r="L46" s="105" t="str">
        <x:v>Dated vendor benchmark; match property comps</x:v>
      </x:c>
      <x:c r="M46" s="105" t="str">
        <x:v>Local review not completed</x:v>
      </x:c>
    </x:row>
    <x:row r="47" ht="50" customHeight="1">
      <x:c r="A47" s="104" t="n">
        <x:v>41</x:v>
      </x:c>
      <x:c r="B47" s="105" t="str">
        <x:v>Jim Thorpe</x:v>
      </x:c>
      <x:c r="C47" s="105" t="str">
        <x:v>PA</x:v>
      </x:c>
      <x:c r="D47" s="105" t="str">
        <x:v>Heritage / outdoor</x:v>
      </x:c>
      <x:c r="E47" s="113" t="n">
        <x:v>308.1</x:v>
      </x:c>
      <x:c r="F47" s="112" t="n">
        <x:v>0.44</x:v>
      </x:c>
      <x:c r="G47" s="113" t="n">
        <x:v>36200</x:v>
      </x:c>
      <x:c r="H47" s="113" t="n">
        <x:v>128.2</x:v>
      </x:c>
      <x:c r="I47" s="114" t="n">
        <x:v>249</x:v>
      </x:c>
      <x:c r="J47" s="105" t="str">
        <x:v>Not disclosed</x:v>
      </x:c>
      <x:c r="K47" s="105" t="str">
        <x:v>AirDNA</x:v>
      </x:c>
      <x:c r="L47" s="105" t="str">
        <x:v>UNDATED SNAPSHOT</x:v>
      </x:c>
      <x:c r="M47" s="105" t="str">
        <x:v>Local review not completed</x:v>
      </x:c>
    </x:row>
    <x:row r="48" ht="50" customHeight="1">
      <x:c r="A48" s="104" t="n">
        <x:v>42</x:v>
      </x:c>
      <x:c r="B48" s="105" t="str">
        <x:v>Lake Harmony</x:v>
      </x:c>
      <x:c r="C48" s="105" t="str">
        <x:v>PA</x:v>
      </x:c>
      <x:c r="D48" s="105" t="str">
        <x:v>Lake / ski</x:v>
      </x:c>
      <x:c r="E48" s="113" t="n">
        <x:v>570.6</x:v>
      </x:c>
      <x:c r="F48" s="112" t="n">
        <x:v>0.38</x:v>
      </x:c>
      <x:c r="G48" s="113" t="n">
        <x:v>49500</x:v>
      </x:c>
      <x:c r="H48" s="113" t="n">
        <x:v>200.4</x:v>
      </x:c>
      <x:c r="I48" s="114" t="n">
        <x:v>744</x:v>
      </x:c>
      <x:c r="J48" s="105" t="str">
        <x:v>Not disclosed</x:v>
      </x:c>
      <x:c r="K48" s="105" t="str">
        <x:v>AirDNA</x:v>
      </x:c>
      <x:c r="L48" s="105" t="str">
        <x:v>UNDATED SNAPSHOT</x:v>
      </x:c>
      <x:c r="M48" s="105" t="str">
        <x:v>Local review not completed</x:v>
      </x:c>
    </x:row>
    <x:row r="49" ht="50" customHeight="1">
      <x:c r="A49" s="104" t="n">
        <x:v>43</x:v>
      </x:c>
      <x:c r="B49" s="105" t="str">
        <x:v>Lancaster</x:v>
      </x:c>
      <x:c r="C49" s="105" t="str">
        <x:v>PA</x:v>
      </x:c>
      <x:c r="D49" s="105" t="str">
        <x:v>Heritage / leisure</x:v>
      </x:c>
      <x:c r="E49" s="113" t="n">
        <x:v>206</x:v>
      </x:c>
      <x:c r="F49" s="112" t="n">
        <x:v>0.56</x:v>
      </x:c>
      <x:c r="G49" s="113" t="n">
        <x:v>38500</x:v>
      </x:c>
      <x:c r="H49" s="113" t="n">
        <x:v>115</x:v>
      </x:c>
      <x:c r="I49" s="114" t="n">
        <x:v>1484</x:v>
      </x:c>
      <x:c r="J49" s="105" t="str">
        <x:v>2026-07</x:v>
      </x:c>
      <x:c r="K49" s="105" t="str">
        <x:v>AirDNA</x:v>
      </x:c>
      <x:c r="L49" s="105" t="str">
        <x:v>LARGE SUPPLY CHANGE: CHECK COVERAGE</x:v>
      </x:c>
      <x:c r="M49" s="105" t="str">
        <x:v>Local review not completed</x:v>
      </x:c>
    </x:row>
    <x:row r="50" ht="50" customHeight="1">
      <x:c r="A50" s="104" t="n">
        <x:v>44</x:v>
      </x:c>
      <x:c r="B50" s="105" t="str">
        <x:v>Gettysburg</x:v>
      </x:c>
      <x:c r="C50" s="105" t="str">
        <x:v>PA</x:v>
      </x:c>
      <x:c r="D50" s="105" t="str">
        <x:v>Heritage / college</x:v>
      </x:c>
      <x:c r="E50" s="113" t="n">
        <x:v>231.6</x:v>
      </x:c>
      <x:c r="F50" s="112" t="n">
        <x:v>0.48</x:v>
      </x:c>
      <x:c r="G50" s="113" t="n">
        <x:v>27500</x:v>
      </x:c>
      <x:c r="H50" s="113" t="n">
        <x:v>103.2</x:v>
      </x:c>
      <x:c r="I50" s="114" t="n">
        <x:v>222</x:v>
      </x:c>
      <x:c r="J50" s="105" t="str">
        <x:v>Not disclosed</x:v>
      </x:c>
      <x:c r="K50" s="105" t="str">
        <x:v>AirDNA</x:v>
      </x:c>
      <x:c r="L50" s="105" t="str">
        <x:v>UNDATED SNAPSHOT</x:v>
      </x:c>
      <x:c r="M50" s="105" t="str">
        <x:v>Local review not completed</x:v>
      </x:c>
    </x:row>
    <x:row r="51" ht="50" customHeight="1">
      <x:c r="A51" s="104" t="n">
        <x:v>45</x:v>
      </x:c>
      <x:c r="B51" s="105" t="str">
        <x:v>Logan</x:v>
      </x:c>
      <x:c r="C51" s="105" t="str">
        <x:v>OH</x:v>
      </x:c>
      <x:c r="D51" s="105" t="str">
        <x:v>State park gateway</x:v>
      </x:c>
      <x:c r="E51" s="113" t="n">
        <x:v>388</x:v>
      </x:c>
      <x:c r="F51" s="112" t="n">
        <x:v>0.51</x:v>
      </x:c>
      <x:c r="G51" s="113" t="n">
        <x:v>66900</x:v>
      </x:c>
      <x:c r="H51" s="113" t="n">
        <x:v>197</x:v>
      </x:c>
      <x:c r="I51" s="114" t="n">
        <x:v>1481</x:v>
      </x:c>
      <x:c r="J51" s="105" t="str">
        <x:v>2026-07</x:v>
      </x:c>
      <x:c r="K51" s="105" t="str">
        <x:v>AirDNA</x:v>
      </x:c>
      <x:c r="L51" s="105" t="str">
        <x:v>LARGE SUPPLY CHANGE: CHECK COVERAGE</x:v>
      </x:c>
      <x:c r="M51" s="105" t="str">
        <x:v>Local review not completed</x:v>
      </x:c>
    </x:row>
    <x:row r="52" ht="50" customHeight="1">
      <x:c r="A52" s="104" t="n">
        <x:v>46</x:v>
      </x:c>
      <x:c r="B52" s="105" t="str">
        <x:v>Sandusky</x:v>
      </x:c>
      <x:c r="C52" s="105" t="str">
        <x:v>OH</x:v>
      </x:c>
      <x:c r="D52" s="105" t="str">
        <x:v>Lake / entertainment</x:v>
      </x:c>
      <x:c r="E52" s="113" t="n">
        <x:v>313.4</x:v>
      </x:c>
      <x:c r="F52" s="112" t="n">
        <x:v>0.43</x:v>
      </x:c>
      <x:c r="G52" s="113" t="n">
        <x:v>24300</x:v>
      </x:c>
      <x:c r="H52" s="113" t="n">
        <x:v>126.5</x:v>
      </x:c>
      <x:c r="I52" s="114" t="n">
        <x:v>573</x:v>
      </x:c>
      <x:c r="J52" s="105" t="str">
        <x:v>Not disclosed</x:v>
      </x:c>
      <x:c r="K52" s="105" t="str">
        <x:v>AirDNA</x:v>
      </x:c>
      <x:c r="L52" s="105" t="str">
        <x:v>UNDATED SNAPSHOT</x:v>
      </x:c>
      <x:c r="M52" s="105" t="str">
        <x:v>Local review not completed</x:v>
      </x:c>
    </x:row>
    <x:row r="53" ht="50" customHeight="1">
      <x:c r="A53" s="104" t="n">
        <x:v>47</x:v>
      </x:c>
      <x:c r="B53" s="105" t="str">
        <x:v>Traverse City</x:v>
      </x:c>
      <x:c r="C53" s="105" t="str">
        <x:v>MI</x:v>
      </x:c>
      <x:c r="D53" s="105" t="str">
        <x:v>Lake / wine</x:v>
      </x:c>
      <x:c r="E53" s="113" t="n">
        <x:v>380</x:v>
      </x:c>
      <x:c r="F53" s="112" t="n">
        <x:v>0.53</x:v>
      </x:c>
      <x:c r="G53" s="113" t="n">
        <x:v>51300</x:v>
      </x:c>
      <x:c r="H53" s="113" t="n">
        <x:v>200</x:v>
      </x:c>
      <x:c r="I53" s="114" t="n">
        <x:v>4422</x:v>
      </x:c>
      <x:c r="J53" s="105" t="str">
        <x:v>2026-08</x:v>
      </x:c>
      <x:c r="K53" s="105" t="str">
        <x:v>AirDNA</x:v>
      </x:c>
      <x:c r="L53" s="105" t="str">
        <x:v>LARGE SUPPLY CHANGE: CHECK COVERAGE</x:v>
      </x:c>
      <x:c r="M53" s="105" t="str">
        <x:v>Local review not completed</x:v>
      </x:c>
    </x:row>
    <x:row r="54" ht="50" customHeight="1">
      <x:c r="A54" s="104" t="n">
        <x:v>48</x:v>
      </x:c>
      <x:c r="B54" s="105" t="str">
        <x:v>New Buffalo</x:v>
      </x:c>
      <x:c r="C54" s="105" t="str">
        <x:v>MI</x:v>
      </x:c>
      <x:c r="D54" s="105" t="str">
        <x:v>Lake / drive-to</x:v>
      </x:c>
      <x:c r="E54" s="113" t="n">
        <x:v>719</x:v>
      </x:c>
      <x:c r="F54" s="112" t="n">
        <x:v>0.48</x:v>
      </x:c>
      <x:c r="G54" s="113" t="n">
        <x:v>48700</x:v>
      </x:c>
      <x:c r="H54" s="113" t="n">
        <x:v>343</x:v>
      </x:c>
      <x:c r="I54" s="114" t="n">
        <x:v>529</x:v>
      </x:c>
      <x:c r="J54" s="105" t="str">
        <x:v>2026-06</x:v>
      </x:c>
      <x:c r="K54" s="105" t="str">
        <x:v>AirDNA</x:v>
      </x:c>
      <x:c r="L54" s="105" t="str">
        <x:v>Dated vendor benchmark; match property comps</x:v>
      </x:c>
      <x:c r="M54" s="105" t="str">
        <x:v>Restricted / location-dependent</x:v>
      </x:c>
    </x:row>
    <x:row r="55" ht="50" customHeight="1">
      <x:c r="A55" s="104" t="n">
        <x:v>49</x:v>
      </x:c>
      <x:c r="B55" s="105" t="str">
        <x:v>Wisconsin Dells</x:v>
      </x:c>
      <x:c r="C55" s="105" t="str">
        <x:v>WI</x:v>
      </x:c>
      <x:c r="D55" s="105" t="str">
        <x:v>Family entertainment</x:v>
      </x:c>
      <x:c r="E55" s="113" t="n">
        <x:v>339</x:v>
      </x:c>
      <x:c r="F55" s="112" t="n">
        <x:v>0.45</x:v>
      </x:c>
      <x:c r="G55" s="113" t="n">
        <x:v>46900</x:v>
      </x:c>
      <x:c r="H55" s="113" t="n">
        <x:v>154</x:v>
      </x:c>
      <x:c r="I55" s="114" t="n">
        <x:v>1350</x:v>
      </x:c>
      <x:c r="J55" s="105" t="str">
        <x:v>2026-07</x:v>
      </x:c>
      <x:c r="K55" s="105" t="str">
        <x:v>AirDNA</x:v>
      </x:c>
      <x:c r="L55" s="105" t="str">
        <x:v>Dated vendor benchmark; match property comps</x:v>
      </x:c>
      <x:c r="M55" s="105" t="str">
        <x:v>Local review not completed</x:v>
      </x:c>
    </x:row>
    <x:row r="56" ht="50" customHeight="1">
      <x:c r="A56" s="104" t="n">
        <x:v>50</x:v>
      </x:c>
      <x:c r="B56" s="105" t="str">
        <x:v>Lake Geneva</x:v>
      </x:c>
      <x:c r="C56" s="105" t="str">
        <x:v>WI</x:v>
      </x:c>
      <x:c r="D56" s="105" t="str">
        <x:v>Lake / drive-to</x:v>
      </x:c>
      <x:c r="E56" s="113" t="n">
        <x:v>492.7</x:v>
      </x:c>
      <x:c r="F56" s="112" t="n">
        <x:v>0.46</x:v>
      </x:c>
      <x:c r="G56" s="113" t="n">
        <x:v>45100</x:v>
      </x:c>
      <x:c r="H56" s="113" t="n">
        <x:v>219.5</x:v>
      </x:c>
      <x:c r="I56" s="114" t="n">
        <x:v>511</x:v>
      </x:c>
      <x:c r="J56" s="105" t="str">
        <x:v>Not disclosed</x:v>
      </x:c>
      <x:c r="K56" s="105" t="str">
        <x:v>AirDNA</x:v>
      </x:c>
      <x:c r="L56" s="105" t="str">
        <x:v>UNDATED SNAPSHOT</x:v>
      </x:c>
      <x:c r="M56" s="105" t="str">
        <x:v>Local review not completed</x:v>
      </x:c>
    </x:row>
    <x:row r="57" ht="50" customHeight="1">
      <x:c r="A57" s="104" t="n">
        <x:v>51</x:v>
      </x:c>
      <x:c r="B57" s="105" t="str">
        <x:v>Osage Beach</x:v>
      </x:c>
      <x:c r="C57" s="105" t="str">
        <x:v>MO</x:v>
      </x:c>
      <x:c r="D57" s="105" t="str">
        <x:v>Lake</x:v>
      </x:c>
      <x:c r="E57" s="113" t="n">
        <x:v>350</x:v>
      </x:c>
      <x:c r="F57" s="112" t="n">
        <x:v>0.43</x:v>
      </x:c>
      <x:c r="G57" s="113" t="n">
        <x:v>21700</x:v>
      </x:c>
      <x:c r="H57" s="113" t="n">
        <x:v>145</x:v>
      </x:c>
      <x:c r="I57" s="114" t="n">
        <x:v>1918</x:v>
      </x:c>
      <x:c r="J57" s="105" t="str">
        <x:v>2026-07</x:v>
      </x:c>
      <x:c r="K57" s="105" t="str">
        <x:v>AirDNA</x:v>
      </x:c>
      <x:c r="L57" s="105" t="str">
        <x:v>Dated vendor benchmark; match property comps</x:v>
      </x:c>
      <x:c r="M57" s="105" t="str">
        <x:v>Local review not completed</x:v>
      </x:c>
    </x:row>
    <x:row r="58" ht="50" customHeight="1">
      <x:c r="A58" s="104" t="n">
        <x:v>52</x:v>
      </x:c>
      <x:c r="B58" s="105" t="str">
        <x:v>Eureka Springs</x:v>
      </x:c>
      <x:c r="C58" s="105" t="str">
        <x:v>AR</x:v>
      </x:c>
      <x:c r="D58" s="105" t="str">
        <x:v>Heritage / outdoor</x:v>
      </x:c>
      <x:c r="E58" s="113" t="n">
        <x:v>208</x:v>
      </x:c>
      <x:c r="F58" s="112" t="n">
        <x:v>0.44</x:v>
      </x:c>
      <x:c r="G58" s="113" t="n">
        <x:v>24300</x:v>
      </x:c>
      <x:c r="H58" s="113" t="n">
        <x:v>95</x:v>
      </x:c>
      <x:c r="I58" s="114" t="n">
        <x:v>1369</x:v>
      </x:c>
      <x:c r="J58" s="105" t="str">
        <x:v>2026-07</x:v>
      </x:c>
      <x:c r="K58" s="105" t="str">
        <x:v>AirDNA</x:v>
      </x:c>
      <x:c r="L58" s="105" t="str">
        <x:v>Dated vendor benchmark; match property comps</x:v>
      </x:c>
      <x:c r="M58" s="105" t="str">
        <x:v>Local review not completed</x:v>
      </x:c>
    </x:row>
    <x:row r="59" ht="50" customHeight="1">
      <x:c r="A59" s="104" t="n">
        <x:v>53</x:v>
      </x:c>
      <x:c r="B59" s="105" t="str">
        <x:v>Fredericksburg</x:v>
      </x:c>
      <x:c r="C59" s="105" t="str">
        <x:v>TX</x:v>
      </x:c>
      <x:c r="D59" s="105" t="str">
        <x:v>Wine / drive-to</x:v>
      </x:c>
      <x:c r="E59" s="113" t="n">
        <x:v>334</x:v>
      </x:c>
      <x:c r="F59" s="112" t="n">
        <x:v>0.4</x:v>
      </x:c>
      <x:c r="G59" s="113" t="n">
        <x:v>36200</x:v>
      </x:c>
      <x:c r="H59" s="113" t="n">
        <x:v>135</x:v>
      </x:c>
      <x:c r="I59" s="114" t="n">
        <x:v>3338</x:v>
      </x:c>
      <x:c r="J59" s="105" t="str">
        <x:v>2026-06</x:v>
      </x:c>
      <x:c r="K59" s="105" t="str">
        <x:v>AirDNA</x:v>
      </x:c>
      <x:c r="L59" s="105" t="str">
        <x:v>Dated vendor benchmark; match property comps</x:v>
      </x:c>
      <x:c r="M59" s="105" t="str">
        <x:v>Local review not completed</x:v>
      </x:c>
    </x:row>
    <x:row r="60" ht="50" customHeight="1">
      <x:c r="A60" s="104" t="n">
        <x:v>54</x:v>
      </x:c>
      <x:c r="B60" s="105" t="str">
        <x:v>New Braunfels</x:v>
      </x:c>
      <x:c r="C60" s="105" t="str">
        <x:v>TX</x:v>
      </x:c>
      <x:c r="D60" s="105" t="str">
        <x:v>River / entertainment</x:v>
      </x:c>
      <x:c r="E60" s="113" t="n">
        <x:v>333</x:v>
      </x:c>
      <x:c r="F60" s="112" t="n">
        <x:v>0.4</x:v>
      </x:c>
      <x:c r="G60" s="113" t="n">
        <x:v>42500</x:v>
      </x:c>
      <x:c r="H60" s="113" t="n">
        <x:v>132</x:v>
      </x:c>
      <x:c r="I60" s="114" t="n">
        <x:v>1385</x:v>
      </x:c>
      <x:c r="J60" s="105" t="str">
        <x:v>2026-07</x:v>
      </x:c>
      <x:c r="K60" s="105" t="str">
        <x:v>AirDNA</x:v>
      </x:c>
      <x:c r="L60" s="105" t="str">
        <x:v>LARGE SUPPLY CHANGE: CHECK COVERAGE</x:v>
      </x:c>
      <x:c r="M60" s="105" t="str">
        <x:v>Local review not completed</x:v>
      </x:c>
    </x:row>
    <x:row r="61" ht="50" customHeight="1">
      <x:c r="A61" s="104" t="n">
        <x:v>55</x:v>
      </x:c>
      <x:c r="B61" s="105" t="str">
        <x:v>Galveston</x:v>
      </x:c>
      <x:c r="C61" s="105" t="str">
        <x:v>TX</x:v>
      </x:c>
      <x:c r="D61" s="105" t="str">
        <x:v>Beach / cruise</x:v>
      </x:c>
      <x:c r="E61" s="113" t="n">
        <x:v>330</x:v>
      </x:c>
      <x:c r="F61" s="112" t="n">
        <x:v>0.43</x:v>
      </x:c>
      <x:c r="G61" s="113" t="n">
        <x:v>30100</x:v>
      </x:c>
      <x:c r="H61" s="113" t="n">
        <x:v>138</x:v>
      </x:c>
      <x:c r="I61" s="114" t="n">
        <x:v>6477</x:v>
      </x:c>
      <x:c r="J61" s="105" t="str">
        <x:v>2026-07</x:v>
      </x:c>
      <x:c r="K61" s="105" t="str">
        <x:v>AirDNA</x:v>
      </x:c>
      <x:c r="L61" s="105" t="str">
        <x:v>Dated vendor benchmark; match property comps</x:v>
      </x:c>
      <x:c r="M61" s="105" t="str">
        <x:v>Local review not completed</x:v>
      </x:c>
    </x:row>
    <x:row r="62" ht="50" customHeight="1">
      <x:c r="A62" s="104" t="n">
        <x:v>56</x:v>
      </x:c>
      <x:c r="B62" s="105" t="str">
        <x:v>Port Aransas</x:v>
      </x:c>
      <x:c r="C62" s="105" t="str">
        <x:v>TX</x:v>
      </x:c>
      <x:c r="D62" s="105" t="str">
        <x:v>Beach</x:v>
      </x:c>
      <x:c r="E62" s="113" t="n">
        <x:v>511</x:v>
      </x:c>
      <x:c r="F62" s="112" t="n">
        <x:v>0.46</x:v>
      </x:c>
      <x:c r="G62" s="113" t="n">
        <x:v>49000</x:v>
      </x:c>
      <x:c r="H62" s="113" t="n">
        <x:v>240</x:v>
      </x:c>
      <x:c r="I62" s="114" t="n">
        <x:v>4809</x:v>
      </x:c>
      <x:c r="J62" s="105" t="str">
        <x:v>2026-07</x:v>
      </x:c>
      <x:c r="K62" s="105" t="str">
        <x:v>AirDNA</x:v>
      </x:c>
      <x:c r="L62" s="105" t="str">
        <x:v>Dated vendor benchmark; match property comps</x:v>
      </x:c>
      <x:c r="M62" s="105" t="str">
        <x:v>Local review not completed</x:v>
      </x:c>
    </x:row>
    <x:row r="63" ht="50" customHeight="1">
      <x:c r="A63" s="104" t="n">
        <x:v>57</x:v>
      </x:c>
      <x:c r="B63" s="105" t="str">
        <x:v>Waco</x:v>
      </x:c>
      <x:c r="C63" s="105" t="str">
        <x:v>TX</x:v>
      </x:c>
      <x:c r="D63" s="105" t="str">
        <x:v>College / leisure</x:v>
      </x:c>
      <x:c r="E63" s="113" t="n">
        <x:v>208</x:v>
      </x:c>
      <x:c r="F63" s="112" t="n">
        <x:v>0.5</x:v>
      </x:c>
      <x:c r="G63" s="113" t="n">
        <x:v>25500</x:v>
      </x:c>
      <x:c r="H63" s="113" t="n">
        <x:v>97</x:v>
      </x:c>
      <x:c r="I63" s="114" t="n">
        <x:v>1036</x:v>
      </x:c>
      <x:c r="J63" s="105" t="str">
        <x:v>2026-07</x:v>
      </x:c>
      <x:c r="K63" s="105" t="str">
        <x:v>AirDNA</x:v>
      </x:c>
      <x:c r="L63" s="105" t="str">
        <x:v>Dated vendor benchmark; match property comps</x:v>
      </x:c>
      <x:c r="M63" s="105" t="str">
        <x:v>Local review not completed</x:v>
      </x:c>
    </x:row>
    <x:row r="64" ht="50" customHeight="1">
      <x:c r="A64" s="104" t="n">
        <x:v>58</x:v>
      </x:c>
      <x:c r="B64" s="105" t="str">
        <x:v>San Antonio</x:v>
      </x:c>
      <x:c r="C64" s="105" t="str">
        <x:v>TX</x:v>
      </x:c>
      <x:c r="D64" s="105" t="str">
        <x:v>Heritage / business</x:v>
      </x:c>
      <x:c r="E64" s="113" t="n">
        <x:v>173</x:v>
      </x:c>
      <x:c r="F64" s="112" t="n">
        <x:v>0.56</x:v>
      </x:c>
      <x:c r="G64" s="113" t="n">
        <x:v>20500</x:v>
      </x:c>
      <x:c r="H64" s="113" t="n">
        <x:v>91</x:v>
      </x:c>
      <x:c r="I64" s="114" t="n">
        <x:v>9737</x:v>
      </x:c>
      <x:c r="J64" s="105" t="str">
        <x:v>2026-07</x:v>
      </x:c>
      <x:c r="K64" s="105" t="str">
        <x:v>AirDNA</x:v>
      </x:c>
      <x:c r="L64" s="105" t="str">
        <x:v>Dated vendor benchmark; match property comps</x:v>
      </x:c>
      <x:c r="M64" s="105" t="str">
        <x:v>Restricted / location-dependent</x:v>
      </x:c>
    </x:row>
    <x:row r="65" ht="50" customHeight="1">
      <x:c r="A65" s="104" t="n">
        <x:v>59</x:v>
      </x:c>
      <x:c r="B65" s="105" t="str">
        <x:v>Houston</x:v>
      </x:c>
      <x:c r="C65" s="105" t="str">
        <x:v>TX</x:v>
      </x:c>
      <x:c r="D65" s="105" t="str">
        <x:v>Business / medical</x:v>
      </x:c>
      <x:c r="E65" s="113" t="n">
        <x:v>191</x:v>
      </x:c>
      <x:c r="F65" s="112" t="n">
        <x:v>0.5</x:v>
      </x:c>
      <x:c r="G65" s="113" t="n">
        <x:v>15300</x:v>
      </x:c>
      <x:c r="H65" s="113" t="n">
        <x:v>90</x:v>
      </x:c>
      <x:c r="I65" s="114" t="n">
        <x:v>20395</x:v>
      </x:c>
      <x:c r="J65" s="105" t="str">
        <x:v>2026-06</x:v>
      </x:c>
      <x:c r="K65" s="105" t="str">
        <x:v>AirDNA</x:v>
      </x:c>
      <x:c r="L65" s="105" t="str">
        <x:v>Dated vendor benchmark; match property comps</x:v>
      </x:c>
      <x:c r="M65" s="105" t="str">
        <x:v>Permit path identified</x:v>
      </x:c>
    </x:row>
    <x:row r="66" ht="50" customHeight="1">
      <x:c r="A66" s="104" t="n">
        <x:v>60</x:v>
      </x:c>
      <x:c r="B66" s="105" t="str">
        <x:v>Abilene</x:v>
      </x:c>
      <x:c r="C66" s="105" t="str">
        <x:v>TX</x:v>
      </x:c>
      <x:c r="D66" s="105" t="str">
        <x:v>Workforce / military</x:v>
      </x:c>
      <x:c r="E66" s="113" t="n">
        <x:v>178</x:v>
      </x:c>
      <x:c r="F66" s="112" t="n">
        <x:v>0.79</x:v>
      </x:c>
      <x:c r="G66" s="113" t="n">
        <x:v>43700</x:v>
      </x:c>
      <x:c r="H66" s="113" t="n">
        <x:v>141</x:v>
      </x:c>
      <x:c r="I66" s="114" t="n">
        <x:v>958</x:v>
      </x:c>
      <x:c r="J66" s="105" t="str">
        <x:v>2026-08</x:v>
      </x:c>
      <x:c r="K66" s="105" t="str">
        <x:v>AirDNA</x:v>
      </x:c>
      <x:c r="L66" s="105" t="str">
        <x:v>LARGE SUPPLY CHANGE: CHECK COVERAGE</x:v>
      </x:c>
      <x:c r="M66" s="105" t="str">
        <x:v>Local review not completed</x:v>
      </x:c>
    </x:row>
    <x:row r="67" ht="50" customHeight="1">
      <x:c r="A67" s="104" t="n">
        <x:v>61</x:v>
      </x:c>
      <x:c r="B67" s="105" t="str">
        <x:v>Port Arthur</x:v>
      </x:c>
      <x:c r="C67" s="105" t="str">
        <x:v>TX</x:v>
      </x:c>
      <x:c r="D67" s="105" t="str">
        <x:v>Workforce / industrial</x:v>
      </x:c>
      <x:c r="E67" s="113" t="n">
        <x:v>95</x:v>
      </x:c>
      <x:c r="F67" s="112" t="n">
        <x:v>0.73</x:v>
      </x:c>
      <x:c r="G67" s="113" t="n">
        <x:v>22800</x:v>
      </x:c>
      <x:c r="H67" s="113" t="n">
        <x:v>69</x:v>
      </x:c>
      <x:c r="I67" s="114" t="n">
        <x:v>462</x:v>
      </x:c>
      <x:c r="J67" s="105" t="str">
        <x:v>2026-08</x:v>
      </x:c>
      <x:c r="K67" s="105" t="str">
        <x:v>AirDNA</x:v>
      </x:c>
      <x:c r="L67" s="105" t="str">
        <x:v>LARGE SUPPLY CHANGE: CHECK COVERAGE</x:v>
      </x:c>
      <x:c r="M67" s="105" t="str">
        <x:v>Local review not completed</x:v>
      </x:c>
    </x:row>
    <x:row r="68" ht="50" customHeight="1">
      <x:c r="A68" s="104" t="n">
        <x:v>62</x:v>
      </x:c>
      <x:c r="B68" s="105" t="str">
        <x:v>Oklahoma City</x:v>
      </x:c>
      <x:c r="C68" s="105" t="str">
        <x:v>OK</x:v>
      </x:c>
      <x:c r="D68" s="105" t="str">
        <x:v>Business / events</x:v>
      </x:c>
      <x:c r="E68" s="113" t="n">
        <x:v>140.3</x:v>
      </x:c>
      <x:c r="F68" s="112" t="n">
        <x:v>0.57</x:v>
      </x:c>
      <x:c r="G68" s="113" t="n">
        <x:v>16800</x:v>
      </x:c>
      <x:c r="H68" s="113" t="n">
        <x:v>74.5</x:v>
      </x:c>
      <x:c r="I68" s="114" t="n">
        <x:v>2951</x:v>
      </x:c>
      <x:c r="J68" s="105" t="str">
        <x:v>Not disclosed</x:v>
      </x:c>
      <x:c r="K68" s="105" t="str">
        <x:v>AirDNA</x:v>
      </x:c>
      <x:c r="L68" s="105" t="str">
        <x:v>UNDATED SNAPSHOT</x:v>
      </x:c>
      <x:c r="M68" s="105" t="str">
        <x:v>Local review not completed</x:v>
      </x:c>
    </x:row>
    <x:row r="69" ht="50" customHeight="1">
      <x:c r="A69" s="104" t="n">
        <x:v>63</x:v>
      </x:c>
      <x:c r="B69" s="105" t="str">
        <x:v>Tulsa</x:v>
      </x:c>
      <x:c r="C69" s="105" t="str">
        <x:v>OK</x:v>
      </x:c>
      <x:c r="D69" s="105" t="str">
        <x:v>Business / events</x:v>
      </x:c>
      <x:c r="E69" s="113" t="n">
        <x:v>161</x:v>
      </x:c>
      <x:c r="F69" s="112" t="n">
        <x:v>0.58</x:v>
      </x:c>
      <x:c r="G69" s="113" t="n">
        <x:v>19600</x:v>
      </x:c>
      <x:c r="H69" s="113" t="n">
        <x:v>84</x:v>
      </x:c>
      <x:c r="I69" s="114" t="n">
        <x:v>2017</x:v>
      </x:c>
      <x:c r="J69" s="105" t="str">
        <x:v>2026-07</x:v>
      </x:c>
      <x:c r="K69" s="105" t="str">
        <x:v>AirDNA</x:v>
      </x:c>
      <x:c r="L69" s="105" t="str">
        <x:v>Dated vendor benchmark; match property comps</x:v>
      </x:c>
      <x:c r="M69" s="105" t="str">
        <x:v>Local review not completed</x:v>
      </x:c>
    </x:row>
    <x:row r="70" ht="50" customHeight="1">
      <x:c r="A70" s="104" t="n">
        <x:v>64</x:v>
      </x:c>
      <x:c r="B70" s="105" t="str">
        <x:v>Bentonville</x:v>
      </x:c>
      <x:c r="C70" s="105" t="str">
        <x:v>AR</x:v>
      </x:c>
      <x:c r="D70" s="105" t="str">
        <x:v>Business / outdoor</x:v>
      </x:c>
      <x:c r="E70" s="113" t="n">
        <x:v>204.1</x:v>
      </x:c>
      <x:c r="F70" s="112" t="n">
        <x:v>0.55</x:v>
      </x:c>
      <x:c r="G70" s="113" t="n">
        <x:v>25000</x:v>
      </x:c>
      <x:c r="H70" s="113" t="n">
        <x:v>107.2</x:v>
      </x:c>
      <x:c r="I70" s="114" t="n">
        <x:v>1158</x:v>
      </x:c>
      <x:c r="J70" s="105" t="str">
        <x:v>Not disclosed</x:v>
      </x:c>
      <x:c r="K70" s="105" t="str">
        <x:v>AirDNA</x:v>
      </x:c>
      <x:c r="L70" s="105" t="str">
        <x:v>UNDATED SNAPSHOT</x:v>
      </x:c>
      <x:c r="M70" s="105" t="str">
        <x:v>Local review not completed</x:v>
      </x:c>
    </x:row>
    <x:row r="71" ht="50" customHeight="1">
      <x:c r="A71" s="104" t="n">
        <x:v>65</x:v>
      </x:c>
      <x:c r="B71" s="105" t="str">
        <x:v>Fayetteville</x:v>
      </x:c>
      <x:c r="C71" s="105" t="str">
        <x:v>AR</x:v>
      </x:c>
      <x:c r="D71" s="105" t="str">
        <x:v>College / outdoor</x:v>
      </x:c>
      <x:c r="E71" s="113" t="n">
        <x:v>204</x:v>
      </x:c>
      <x:c r="F71" s="112" t="n">
        <x:v>0.5</x:v>
      </x:c>
      <x:c r="G71" s="113" t="n">
        <x:v>33300</x:v>
      </x:c>
      <x:c r="H71" s="113" t="n">
        <x:v>101</x:v>
      </x:c>
      <x:c r="I71" s="114" t="n">
        <x:v>827</x:v>
      </x:c>
      <x:c r="J71" s="105" t="str">
        <x:v>2026-07</x:v>
      </x:c>
      <x:c r="K71" s="105" t="str">
        <x:v>AirDNA</x:v>
      </x:c>
      <x:c r="L71" s="105" t="str">
        <x:v>Dated vendor benchmark; match property comps</x:v>
      </x:c>
      <x:c r="M71" s="105" t="str">
        <x:v>Restricted / location-dependent</x:v>
      </x:c>
    </x:row>
    <x:row r="72" ht="50" customHeight="1">
      <x:c r="A72" s="104" t="n">
        <x:v>66</x:v>
      </x:c>
      <x:c r="B72" s="105" t="str">
        <x:v>Huntsville</x:v>
      </x:c>
      <x:c r="C72" s="105" t="str">
        <x:v>AL</x:v>
      </x:c>
      <x:c r="D72" s="105" t="str">
        <x:v>Business / aerospace</x:v>
      </x:c>
      <x:c r="E72" s="113" t="n">
        <x:v>129</x:v>
      </x:c>
      <x:c r="F72" s="112" t="n">
        <x:v>0.5</x:v>
      </x:c>
      <x:c r="G72" s="113" t="n">
        <x:v>13200</x:v>
      </x:c>
      <x:c r="H72" s="113" t="n">
        <x:v>65</x:v>
      </x:c>
      <x:c r="I72" s="114" t="n">
        <x:v>1089</x:v>
      </x:c>
      <x:c r="J72" s="105" t="str">
        <x:v>2026-07</x:v>
      </x:c>
      <x:c r="K72" s="105" t="str">
        <x:v>AirDNA</x:v>
      </x:c>
      <x:c r="L72" s="105" t="str">
        <x:v>Dated vendor benchmark; match property comps</x:v>
      </x:c>
      <x:c r="M72" s="105" t="str">
        <x:v>Local review not completed</x:v>
      </x:c>
    </x:row>
    <x:row r="73" ht="50" customHeight="1">
      <x:c r="A73" s="104" t="n">
        <x:v>67</x:v>
      </x:c>
      <x:c r="B73" s="105" t="str">
        <x:v>Birmingham</x:v>
      </x:c>
      <x:c r="C73" s="105" t="str">
        <x:v>AL</x:v>
      </x:c>
      <x:c r="D73" s="105" t="str">
        <x:v>Medical / business</x:v>
      </x:c>
      <x:c r="E73" s="113" t="n">
        <x:v>167</x:v>
      </x:c>
      <x:c r="F73" s="112" t="n">
        <x:v>0.52</x:v>
      </x:c>
      <x:c r="G73" s="113" t="n">
        <x:v>18900</x:v>
      </x:c>
      <x:c r="H73" s="113" t="n">
        <x:v>86</x:v>
      </x:c>
      <x:c r="I73" s="114" t="n">
        <x:v>2520</x:v>
      </x:c>
      <x:c r="J73" s="105" t="str">
        <x:v>2026-07</x:v>
      </x:c>
      <x:c r="K73" s="105" t="str">
        <x:v>AirDNA</x:v>
      </x:c>
      <x:c r="L73" s="105" t="str">
        <x:v>Dated vendor benchmark; match property comps</x:v>
      </x:c>
      <x:c r="M73" s="105" t="str">
        <x:v>Local review not completed</x:v>
      </x:c>
    </x:row>
    <x:row r="74" ht="50" customHeight="1">
      <x:c r="A74" s="104" t="n">
        <x:v>68</x:v>
      </x:c>
      <x:c r="B74" s="105" t="str">
        <x:v>Montgomery</x:v>
      </x:c>
      <x:c r="C74" s="105" t="str">
        <x:v>AL</x:v>
      </x:c>
      <x:c r="D74" s="105" t="str">
        <x:v>Government / heritage</x:v>
      </x:c>
      <x:c r="E74" s="113" t="n">
        <x:v>142</x:v>
      </x:c>
      <x:c r="F74" s="112" t="n">
        <x:v>0.61</x:v>
      </x:c>
      <x:c r="G74" s="113" t="n">
        <x:v>18200</x:v>
      </x:c>
      <x:c r="H74" s="113" t="n">
        <x:v>81</x:v>
      </x:c>
      <x:c r="I74" s="114" t="n">
        <x:v>845</x:v>
      </x:c>
      <x:c r="J74" s="105" t="str">
        <x:v>2026-07</x:v>
      </x:c>
      <x:c r="K74" s="105" t="str">
        <x:v>AirDNA</x:v>
      </x:c>
      <x:c r="L74" s="105" t="str">
        <x:v>Dated vendor benchmark; match property comps</x:v>
      </x:c>
      <x:c r="M74" s="105" t="str">
        <x:v>Local review not completed</x:v>
      </x:c>
    </x:row>
    <x:row r="75" ht="50" customHeight="1">
      <x:c r="A75" s="104" t="n">
        <x:v>69</x:v>
      </x:c>
      <x:c r="B75" s="105" t="str">
        <x:v>Louisville</x:v>
      </x:c>
      <x:c r="C75" s="105" t="str">
        <x:v>KY</x:v>
      </x:c>
      <x:c r="D75" s="105" t="str">
        <x:v>Events / business</x:v>
      </x:c>
      <x:c r="E75" s="113" t="n">
        <x:v>217</x:v>
      </x:c>
      <x:c r="F75" s="112" t="n">
        <x:v>0.56</x:v>
      </x:c>
      <x:c r="G75" s="113" t="n">
        <x:v>39800</x:v>
      </x:c>
      <x:c r="H75" s="113" t="n">
        <x:v>120</x:v>
      </x:c>
      <x:c r="I75" s="114" t="n">
        <x:v>3244</x:v>
      </x:c>
      <x:c r="J75" s="105" t="str">
        <x:v>2026-07</x:v>
      </x:c>
      <x:c r="K75" s="105" t="str">
        <x:v>AirDNA</x:v>
      </x:c>
      <x:c r="L75" s="105" t="str">
        <x:v>Dated vendor benchmark; match property comps</x:v>
      </x:c>
      <x:c r="M75" s="105" t="str">
        <x:v>Permit path identified</x:v>
      </x:c>
    </x:row>
    <x:row r="76" ht="50" customHeight="1">
      <x:c r="A76" s="104" t="n">
        <x:v>70</x:v>
      </x:c>
      <x:c r="B76" s="105" t="str">
        <x:v>Lexington</x:v>
      </x:c>
      <x:c r="C76" s="105" t="str">
        <x:v>KY</x:v>
      </x:c>
      <x:c r="D76" s="105" t="str">
        <x:v>College / equestrian</x:v>
      </x:c>
      <x:c r="E76" s="113" t="n">
        <x:v>196</x:v>
      </x:c>
      <x:c r="F76" s="112" t="n">
        <x:v>0.57</x:v>
      </x:c>
      <x:c r="G76" s="113" t="n">
        <x:v>36900</x:v>
      </x:c>
      <x:c r="H76" s="113" t="n">
        <x:v>113</x:v>
      </x:c>
      <x:c r="I76" s="114" t="n">
        <x:v>1381</x:v>
      </x:c>
      <x:c r="J76" s="105" t="str">
        <x:v>2026-07</x:v>
      </x:c>
      <x:c r="K76" s="105" t="str">
        <x:v>AirDNA</x:v>
      </x:c>
      <x:c r="L76" s="105" t="str">
        <x:v>Dated vendor benchmark; match property comps</x:v>
      </x:c>
      <x:c r="M76" s="105" t="str">
        <x:v>Permit path identified</x:v>
      </x:c>
    </x:row>
    <x:row r="77" ht="50" customHeight="1">
      <x:c r="A77" s="104" t="n">
        <x:v>71</x:v>
      </x:c>
      <x:c r="B77" s="105" t="str">
        <x:v>Indianapolis</x:v>
      </x:c>
      <x:c r="C77" s="105" t="str">
        <x:v>IN</x:v>
      </x:c>
      <x:c r="D77" s="105" t="str">
        <x:v>Events / business</x:v>
      </x:c>
      <x:c r="E77" s="113" t="n">
        <x:v>205</x:v>
      </x:c>
      <x:c r="F77" s="112" t="n">
        <x:v>0.52</x:v>
      </x:c>
      <x:c r="G77" s="113" t="n">
        <x:v>20100</x:v>
      </x:c>
      <x:c r="H77" s="113" t="n">
        <x:v>100</x:v>
      </x:c>
      <x:c r="I77" s="114" t="n">
        <x:v>5681</x:v>
      </x:c>
      <x:c r="J77" s="105" t="str">
        <x:v>2026-07</x:v>
      </x:c>
      <x:c r="K77" s="105" t="str">
        <x:v>AirDNA</x:v>
      </x:c>
      <x:c r="L77" s="105" t="str">
        <x:v>Dated vendor benchmark; match property comps</x:v>
      </x:c>
      <x:c r="M77" s="105" t="str">
        <x:v>Permit path identified</x:v>
      </x:c>
    </x:row>
    <x:row r="78" ht="50" customHeight="1">
      <x:c r="A78" s="104" t="n">
        <x:v>72</x:v>
      </x:c>
      <x:c r="B78" s="105" t="str">
        <x:v>Columbus</x:v>
      </x:c>
      <x:c r="C78" s="105" t="str">
        <x:v>OH</x:v>
      </x:c>
      <x:c r="D78" s="105" t="str">
        <x:v>College / business</x:v>
      </x:c>
      <x:c r="E78" s="113" t="n">
        <x:v>173</x:v>
      </x:c>
      <x:c r="F78" s="112" t="n">
        <x:v>0.62</x:v>
      </x:c>
      <x:c r="G78" s="113" t="n">
        <x:v>22200</x:v>
      </x:c>
      <x:c r="H78" s="113" t="n">
        <x:v>98</x:v>
      </x:c>
      <x:c r="I78" s="114" t="n">
        <x:v>4155</x:v>
      </x:c>
      <x:c r="J78" s="105" t="str">
        <x:v>2026-07</x:v>
      </x:c>
      <x:c r="K78" s="105" t="str">
        <x:v>AirDNA</x:v>
      </x:c>
      <x:c r="L78" s="105" t="str">
        <x:v>Dated vendor benchmark; match property comps</x:v>
      </x:c>
      <x:c r="M78" s="105" t="str">
        <x:v>Permit path identified</x:v>
      </x:c>
    </x:row>
    <x:row r="79" ht="50" customHeight="1">
      <x:c r="A79" s="104" t="n">
        <x:v>73</x:v>
      </x:c>
      <x:c r="B79" s="105" t="str">
        <x:v>Cleveland</x:v>
      </x:c>
      <x:c r="C79" s="105" t="str">
        <x:v>OH</x:v>
      </x:c>
      <x:c r="D79" s="105" t="str">
        <x:v>Medical / events</x:v>
      </x:c>
      <x:c r="E79" s="113" t="n">
        <x:v>146</x:v>
      </x:c>
      <x:c r="F79" s="112" t="n">
        <x:v>0.6</x:v>
      </x:c>
      <x:c r="G79" s="113" t="n">
        <x:v>29100</x:v>
      </x:c>
      <x:c r="H79" s="113" t="n">
        <x:v>88</x:v>
      </x:c>
      <x:c r="I79" s="114" t="n">
        <x:v>3970</x:v>
      </x:c>
      <x:c r="J79" s="105" t="str">
        <x:v>2026-08</x:v>
      </x:c>
      <x:c r="K79" s="105" t="str">
        <x:v>AirDNA</x:v>
      </x:c>
      <x:c r="L79" s="105" t="str">
        <x:v>Dated vendor benchmark; match property comps</x:v>
      </x:c>
      <x:c r="M79" s="105" t="str">
        <x:v>Local review not completed</x:v>
      </x:c>
    </x:row>
    <x:row r="80" ht="50" customHeight="1">
      <x:c r="A80" s="104" t="n">
        <x:v>74</x:v>
      </x:c>
      <x:c r="B80" s="105" t="str">
        <x:v>Akron</x:v>
      </x:c>
      <x:c r="C80" s="105" t="str">
        <x:v>OH</x:v>
      </x:c>
      <x:c r="D80" s="105" t="str">
        <x:v>Medical / business</x:v>
      </x:c>
      <x:c r="E80" s="113" t="n">
        <x:v>133</x:v>
      </x:c>
      <x:c r="F80" s="112" t="n">
        <x:v>0.61</x:v>
      </x:c>
      <x:c r="G80" s="113" t="n">
        <x:v>17300</x:v>
      </x:c>
      <x:c r="H80" s="113" t="n">
        <x:v>74.4</x:v>
      </x:c>
      <x:c r="I80" s="114" t="n">
        <x:v>595</x:v>
      </x:c>
      <x:c r="J80" s="105" t="str">
        <x:v>Not disclosed</x:v>
      </x:c>
      <x:c r="K80" s="105" t="str">
        <x:v>AirDNA</x:v>
      </x:c>
      <x:c r="L80" s="105" t="str">
        <x:v>UNDATED SNAPSHOT</x:v>
      </x:c>
      <x:c r="M80" s="105" t="str">
        <x:v>Local review not completed</x:v>
      </x:c>
    </x:row>
    <x:row r="81" ht="50" customHeight="1">
      <x:c r="A81" s="104" t="n">
        <x:v>75</x:v>
      </x:c>
      <x:c r="B81" s="105" t="str">
        <x:v>Pittsburgh</x:v>
      </x:c>
      <x:c r="C81" s="105" t="str">
        <x:v>PA</x:v>
      </x:c>
      <x:c r="D81" s="105" t="str">
        <x:v>Medical / college</x:v>
      </x:c>
      <x:c r="E81" s="113" t="n">
        <x:v>215</x:v>
      </x:c>
      <x:c r="F81" s="112" t="n">
        <x:v>0.53</x:v>
      </x:c>
      <x:c r="G81" s="113" t="n">
        <x:v>19600</x:v>
      </x:c>
      <x:c r="H81" s="113" t="n">
        <x:v>104</x:v>
      </x:c>
      <x:c r="I81" s="114" t="n">
        <x:v>4772</x:v>
      </x:c>
      <x:c r="J81" s="105" t="str">
        <x:v>2026-06</x:v>
      </x:c>
      <x:c r="K81" s="105" t="str">
        <x:v>AirDNA</x:v>
      </x:c>
      <x:c r="L81" s="105" t="str">
        <x:v>Dated vendor benchmark; match property comps</x:v>
      </x:c>
      <x:c r="M81" s="105" t="str">
        <x:v>Local review not completed</x:v>
      </x:c>
    </x:row>
    <x:row r="82" ht="50" customHeight="1">
      <x:c r="A82" s="104" t="n">
        <x:v>76</x:v>
      </x:c>
      <x:c r="B82" s="105" t="str">
        <x:v>Chattanooga</x:v>
      </x:c>
      <x:c r="C82" s="105" t="str">
        <x:v>TN</x:v>
      </x:c>
      <x:c r="D82" s="105" t="str">
        <x:v>Outdoor / business</x:v>
      </x:c>
      <x:c r="E82" s="113" t="n">
        <x:v>173</x:v>
      </x:c>
      <x:c r="F82" s="112" t="n">
        <x:v>0.57</x:v>
      </x:c>
      <x:c r="G82" s="113" t="n">
        <x:v>24500</x:v>
      </x:c>
      <x:c r="H82" s="113" t="n">
        <x:v>96</x:v>
      </x:c>
      <x:c r="I82" s="114" t="n">
        <x:v>1760</x:v>
      </x:c>
      <x:c r="J82" s="105" t="str">
        <x:v>2026-06</x:v>
      </x:c>
      <x:c r="K82" s="105" t="str">
        <x:v>AirDNA</x:v>
      </x:c>
      <x:c r="L82" s="105" t="str">
        <x:v>Dated vendor benchmark; match property comps</x:v>
      </x:c>
      <x:c r="M82" s="105" t="str">
        <x:v>Restricted / location-dependent</x:v>
      </x:c>
    </x:row>
    <x:row r="83" ht="50" customHeight="1">
      <x:c r="A83" s="104" t="n">
        <x:v>77</x:v>
      </x:c>
      <x:c r="B83" s="105" t="str">
        <x:v>Knoxville</x:v>
      </x:c>
      <x:c r="C83" s="105" t="str">
        <x:v>TN</x:v>
      </x:c>
      <x:c r="D83" s="105" t="str">
        <x:v>College / business</x:v>
      </x:c>
      <x:c r="E83" s="113" t="n">
        <x:v>198</x:v>
      </x:c>
      <x:c r="F83" s="112" t="n">
        <x:v>0.57</x:v>
      </x:c>
      <x:c r="G83" s="113" t="n">
        <x:v>22600</x:v>
      </x:c>
      <x:c r="H83" s="113" t="n">
        <x:v>101</x:v>
      </x:c>
      <x:c r="I83" s="114" t="n">
        <x:v>2105</x:v>
      </x:c>
      <x:c r="J83" s="105" t="str">
        <x:v>2026-07</x:v>
      </x:c>
      <x:c r="K83" s="105" t="str">
        <x:v>AirDNA</x:v>
      </x:c>
      <x:c r="L83" s="105" t="str">
        <x:v>Dated vendor benchmark; match property comps</x:v>
      </x:c>
      <x:c r="M83" s="105" t="str">
        <x:v>Local review not completed</x:v>
      </x:c>
    </x:row>
    <x:row r="84" ht="50" customHeight="1">
      <x:c r="A84" s="104" t="n">
        <x:v>78</x:v>
      </x:c>
      <x:c r="B84" s="105" t="str">
        <x:v>Nashville</x:v>
      </x:c>
      <x:c r="C84" s="105" t="str">
        <x:v>TN</x:v>
      </x:c>
      <x:c r="D84" s="105" t="str">
        <x:v>Music / business</x:v>
      </x:c>
      <x:c r="E84" s="113" t="n">
        <x:v>296</x:v>
      </x:c>
      <x:c r="F84" s="112" t="n">
        <x:v>0.58</x:v>
      </x:c>
      <x:c r="G84" s="113" t="n">
        <x:v>57300</x:v>
      </x:c>
      <x:c r="H84" s="113" t="n">
        <x:v>171</x:v>
      </x:c>
      <x:c r="I84" s="114" t="n">
        <x:v>11305</x:v>
      </x:c>
      <x:c r="J84" s="105" t="str">
        <x:v>2026-08</x:v>
      </x:c>
      <x:c r="K84" s="105" t="str">
        <x:v>AirDNA</x:v>
      </x:c>
      <x:c r="L84" s="105" t="str">
        <x:v>Dated vendor benchmark; match property comps</x:v>
      </x:c>
      <x:c r="M84" s="105" t="str">
        <x:v>Restricted / location-dependent</x:v>
      </x:c>
    </x:row>
    <x:row r="85" ht="50" customHeight="1">
      <x:c r="A85" s="104" t="n">
        <x:v>79</x:v>
      </x:c>
      <x:c r="B85" s="105" t="str">
        <x:v>Savannah</x:v>
      </x:c>
      <x:c r="C85" s="105" t="str">
        <x:v>GA</x:v>
      </x:c>
      <x:c r="D85" s="105" t="str">
        <x:v>Heritage / leisure</x:v>
      </x:c>
      <x:c r="E85" s="113" t="n">
        <x:v>298</x:v>
      </x:c>
      <x:c r="F85" s="112" t="n">
        <x:v>0.57</x:v>
      </x:c>
      <x:c r="G85" s="113" t="n">
        <x:v>39500</x:v>
      </x:c>
      <x:c r="H85" s="113" t="n">
        <x:v>164</x:v>
      </x:c>
      <x:c r="I85" s="114" t="n">
        <x:v>4755</x:v>
      </x:c>
      <x:c r="J85" s="105" t="str">
        <x:v>2026-07</x:v>
      </x:c>
      <x:c r="K85" s="105" t="str">
        <x:v>AirDNA</x:v>
      </x:c>
      <x:c r="L85" s="105" t="str">
        <x:v>Dated vendor benchmark; match property comps</x:v>
      </x:c>
      <x:c r="M85" s="105" t="str">
        <x:v>Restricted / location-dependent</x:v>
      </x:c>
    </x:row>
    <x:row r="86" ht="50" customHeight="1">
      <x:c r="A86" s="104" t="n">
        <x:v>80</x:v>
      </x:c>
      <x:c r="B86" s="105" t="str">
        <x:v>Athens</x:v>
      </x:c>
      <x:c r="C86" s="105" t="str">
        <x:v>GA</x:v>
      </x:c>
      <x:c r="D86" s="105" t="str">
        <x:v>College / events</x:v>
      </x:c>
      <x:c r="E86" s="113" t="n">
        <x:v>401</x:v>
      </x:c>
      <x:c r="F86" s="112" t="n">
        <x:v>0.42</x:v>
      </x:c>
      <x:c r="G86" s="113" t="n">
        <x:v>24400</x:v>
      </x:c>
      <x:c r="H86" s="113" t="n">
        <x:v>153</x:v>
      </x:c>
      <x:c r="I86" s="114" t="n">
        <x:v>1408</x:v>
      </x:c>
      <x:c r="J86" s="105" t="str">
        <x:v>2026-06</x:v>
      </x:c>
      <x:c r="K86" s="105" t="str">
        <x:v>AirDNA</x:v>
      </x:c>
      <x:c r="L86" s="105" t="str">
        <x:v>Dated vendor benchmark; match property comps</x:v>
      </x:c>
      <x:c r="M86" s="105" t="str">
        <x:v>Restricted / location-dependent</x:v>
      </x:c>
    </x:row>
    <x:row r="87" ht="50" customHeight="1">
      <x:c r="A87" s="104" t="n">
        <x:v>81</x:v>
      </x:c>
      <x:c r="B87" s="105" t="str">
        <x:v>Flagstaff</x:v>
      </x:c>
      <x:c r="C87" s="105" t="str">
        <x:v>AZ</x:v>
      </x:c>
      <x:c r="D87" s="105" t="str">
        <x:v>National park / college</x:v>
      </x:c>
      <x:c r="E87" s="113" t="n">
        <x:v>268</x:v>
      </x:c>
      <x:c r="F87" s="112" t="n">
        <x:v>0.54</x:v>
      </x:c>
      <x:c r="G87" s="113" t="n">
        <x:v>32500</x:v>
      </x:c>
      <x:c r="H87" s="113" t="n">
        <x:v>136</x:v>
      </x:c>
      <x:c r="I87" s="114" t="n">
        <x:v>2725</x:v>
      </x:c>
      <x:c r="J87" s="105" t="str">
        <x:v>2026-07</x:v>
      </x:c>
      <x:c r="K87" s="105" t="str">
        <x:v>AirDNA</x:v>
      </x:c>
      <x:c r="L87" s="105" t="str">
        <x:v>Dated vendor benchmark; match property comps</x:v>
      </x:c>
      <x:c r="M87" s="105" t="str">
        <x:v>Permit path identified</x:v>
      </x:c>
    </x:row>
    <x:row r="88" ht="50" customHeight="1">
      <x:c r="A88" s="104" t="n">
        <x:v>82</x:v>
      </x:c>
      <x:c r="B88" s="105" t="str">
        <x:v>Sedona</x:v>
      </x:c>
      <x:c r="C88" s="105" t="str">
        <x:v>AZ</x:v>
      </x:c>
      <x:c r="D88" s="105" t="str">
        <x:v>Outdoor / premium</x:v>
      </x:c>
      <x:c r="E88" s="113" t="n">
        <x:v>371</x:v>
      </x:c>
      <x:c r="F88" s="112" t="n">
        <x:v>0.53</x:v>
      </x:c>
      <x:c r="G88" s="113" t="n">
        <x:v>47600</x:v>
      </x:c>
      <x:c r="H88" s="113" t="n">
        <x:v>197</x:v>
      </x:c>
      <x:c r="I88" s="114" t="n">
        <x:v>4339</x:v>
      </x:c>
      <x:c r="J88" s="105" t="str">
        <x:v>2026-07</x:v>
      </x:c>
      <x:c r="K88" s="105" t="str">
        <x:v>AirDNA</x:v>
      </x:c>
      <x:c r="L88" s="105" t="str">
        <x:v>Dated vendor benchmark; match property comps</x:v>
      </x:c>
      <x:c r="M88" s="105" t="str">
        <x:v>Permit path identified</x:v>
      </x:c>
    </x:row>
    <x:row r="89" ht="50" customHeight="1">
      <x:c r="A89" s="104" t="n">
        <x:v>83</x:v>
      </x:c>
      <x:c r="B89" s="105" t="str">
        <x:v>Scottsdale</x:v>
      </x:c>
      <x:c r="C89" s="105" t="str">
        <x:v>AZ</x:v>
      </x:c>
      <x:c r="D89" s="105" t="str">
        <x:v>Golf / premium</x:v>
      </x:c>
      <x:c r="E89" s="113" t="n">
        <x:v>441</x:v>
      </x:c>
      <x:c r="F89" s="112" t="n">
        <x:v>0.57</x:v>
      </x:c>
      <x:c r="G89" s="113" t="n">
        <x:v>48146</x:v>
      </x:c>
      <x:c r="H89" s="113" t="n">
        <x:v>249</x:v>
      </x:c>
      <x:c r="I89" s="114" t="n">
        <x:v>3135</x:v>
      </x:c>
      <x:c r="J89" s="105" t="str">
        <x:v>Snapshot Apr 27, 2026; annual revenue historical 12-month average</x:v>
      </x:c>
      <x:c r="K89" s="105" t="str">
        <x:v>Rabbu</x:v>
      </x:c>
      <x:c r="L89" s="105" t="str">
        <x:v>ALTERNATE PROVIDER USED</x:v>
      </x:c>
      <x:c r="M89" s="105" t="str">
        <x:v>Permit path identified</x:v>
      </x:c>
    </x:row>
    <x:row r="90" ht="50" customHeight="1">
      <x:c r="A90" s="104" t="n">
        <x:v>84</x:v>
      </x:c>
      <x:c r="B90" s="105" t="str">
        <x:v>Tucson</x:v>
      </x:c>
      <x:c r="C90" s="105" t="str">
        <x:v>AZ</x:v>
      </x:c>
      <x:c r="D90" s="105" t="str">
        <x:v>Winter / college</x:v>
      </x:c>
      <x:c r="E90" s="113" t="n">
        <x:v>163</x:v>
      </x:c>
      <x:c r="F90" s="112" t="n">
        <x:v>0.6</x:v>
      </x:c>
      <x:c r="G90" s="113" t="n">
        <x:v>31400</x:v>
      </x:c>
      <x:c r="H90" s="113" t="n">
        <x:v>98</x:v>
      </x:c>
      <x:c r="I90" s="114" t="n">
        <x:v>3709</x:v>
      </x:c>
      <x:c r="J90" s="105" t="str">
        <x:v>2026-08</x:v>
      </x:c>
      <x:c r="K90" s="105" t="str">
        <x:v>AirDNA</x:v>
      </x:c>
      <x:c r="L90" s="105" t="str">
        <x:v>LARGE SUPPLY CHANGE: CHECK COVERAGE</x:v>
      </x:c>
      <x:c r="M90" s="105" t="str">
        <x:v>Local review not completed</x:v>
      </x:c>
    </x:row>
    <x:row r="91" ht="50" customHeight="1">
      <x:c r="A91" s="104" t="n">
        <x:v>85</x:v>
      </x:c>
      <x:c r="B91" s="105" t="str">
        <x:v>Joshua Tree</x:v>
      </x:c>
      <x:c r="C91" s="105" t="str">
        <x:v>CA</x:v>
      </x:c>
      <x:c r="D91" s="105" t="str">
        <x:v>Desert / national park</x:v>
      </x:c>
      <x:c r="E91" s="113" t="n">
        <x:v>301</x:v>
      </x:c>
      <x:c r="F91" s="112" t="n">
        <x:v>0.53</x:v>
      </x:c>
      <x:c r="G91" s="113" t="n">
        <x:v>42600</x:v>
      </x:c>
      <x:c r="H91" s="113" t="n">
        <x:v>160</x:v>
      </x:c>
      <x:c r="I91" s="114" t="n">
        <x:v>1566</x:v>
      </x:c>
      <x:c r="J91" s="105" t="str">
        <x:v>2026-06</x:v>
      </x:c>
      <x:c r="K91" s="105" t="str">
        <x:v>AirDNA</x:v>
      </x:c>
      <x:c r="L91" s="105" t="str">
        <x:v>Dated vendor benchmark; match property comps</x:v>
      </x:c>
      <x:c r="M91" s="105" t="str">
        <x:v>Permit path identified</x:v>
      </x:c>
    </x:row>
    <x:row r="92" ht="50" customHeight="1">
      <x:c r="A92" s="104" t="n">
        <x:v>86</x:v>
      </x:c>
      <x:c r="B92" s="105" t="str">
        <x:v>Big Bear Lake</x:v>
      </x:c>
      <x:c r="C92" s="105" t="str">
        <x:v>CA</x:v>
      </x:c>
      <x:c r="D92" s="105" t="str">
        <x:v>Lake / ski</x:v>
      </x:c>
      <x:c r="E92" s="113" t="n">
        <x:v>434</x:v>
      </x:c>
      <x:c r="F92" s="112" t="n">
        <x:v>0.34</x:v>
      </x:c>
      <x:c r="G92" s="113" t="n">
        <x:v>30800</x:v>
      </x:c>
      <x:c r="H92" s="113" t="n">
        <x:v>146</x:v>
      </x:c>
      <x:c r="I92" s="114" t="n">
        <x:v>4119</x:v>
      </x:c>
      <x:c r="J92" s="105" t="str">
        <x:v>2026-07</x:v>
      </x:c>
      <x:c r="K92" s="105" t="str">
        <x:v>AirDNA</x:v>
      </x:c>
      <x:c r="L92" s="105" t="str">
        <x:v>Dated vendor benchmark; match property comps</x:v>
      </x:c>
      <x:c r="M92" s="105" t="str">
        <x:v>Local review not completed</x:v>
      </x:c>
    </x:row>
    <x:row r="93" ht="50" customHeight="1">
      <x:c r="A93" s="104" t="n">
        <x:v>87</x:v>
      </x:c>
      <x:c r="B93" s="105" t="str">
        <x:v>Palm Springs</x:v>
      </x:c>
      <x:c r="C93" s="105" t="str">
        <x:v>CA</x:v>
      </x:c>
      <x:c r="D93" s="105" t="str">
        <x:v>Desert / premium</x:v>
      </x:c>
      <x:c r="E93" s="113" t="n">
        <x:v>478</x:v>
      </x:c>
      <x:c r="F93" s="112" t="n">
        <x:v>0.5</x:v>
      </x:c>
      <x:c r="G93" s="113" t="n">
        <x:v>38600</x:v>
      </x:c>
      <x:c r="H93" s="113" t="n">
        <x:v>215</x:v>
      </x:c>
      <x:c r="I93" s="114" t="n">
        <x:v>5924</x:v>
      </x:c>
      <x:c r="J93" s="105" t="str">
        <x:v>2026-07</x:v>
      </x:c>
      <x:c r="K93" s="105" t="str">
        <x:v>AirDNA</x:v>
      </x:c>
      <x:c r="L93" s="105" t="str">
        <x:v>Dated vendor benchmark; match property comps</x:v>
      </x:c>
      <x:c r="M93" s="105" t="str">
        <x:v>Restricted / location-dependent</x:v>
      </x:c>
    </x:row>
    <x:row r="94" ht="50" customHeight="1">
      <x:c r="A94" s="104" t="n">
        <x:v>88</x:v>
      </x:c>
      <x:c r="B94" s="105" t="str">
        <x:v>Mammoth Lakes</x:v>
      </x:c>
      <x:c r="C94" s="105" t="str">
        <x:v>CA</x:v>
      </x:c>
      <x:c r="D94" s="105" t="str">
        <x:v>Mountain / ski</x:v>
      </x:c>
      <x:c r="E94" s="113" t="n">
        <x:v>466</x:v>
      </x:c>
      <x:c r="F94" s="112" t="n">
        <x:v>0.45</x:v>
      </x:c>
      <x:c r="G94" s="113" t="n">
        <x:v>45600</x:v>
      </x:c>
      <x:c r="H94" s="113" t="n">
        <x:v>198</x:v>
      </x:c>
      <x:c r="I94" s="114" t="n">
        <x:v>3966</x:v>
      </x:c>
      <x:c r="J94" s="105" t="str">
        <x:v>2026-06</x:v>
      </x:c>
      <x:c r="K94" s="105" t="str">
        <x:v>AirDNA</x:v>
      </x:c>
      <x:c r="L94" s="105" t="str">
        <x:v>Dated vendor benchmark; match property comps</x:v>
      </x:c>
      <x:c r="M94" s="105" t="str">
        <x:v>Local review not completed</x:v>
      </x:c>
    </x:row>
    <x:row r="95" ht="50" customHeight="1">
      <x:c r="A95" s="104" t="n">
        <x:v>89</x:v>
      </x:c>
      <x:c r="B95" s="105" t="str">
        <x:v>Breckenridge</x:v>
      </x:c>
      <x:c r="C95" s="105" t="str">
        <x:v>CO</x:v>
      </x:c>
      <x:c r="D95" s="105" t="str">
        <x:v>Mountain / ski</x:v>
      </x:c>
      <x:c r="E95" s="113" t="n">
        <x:v>581</x:v>
      </x:c>
      <x:c r="F95" s="112" t="n">
        <x:v>0.51</x:v>
      </x:c>
      <x:c r="G95" s="113" t="n">
        <x:v>83400</x:v>
      </x:c>
      <x:c r="H95" s="113" t="n">
        <x:v>298</x:v>
      </x:c>
      <x:c r="I95" s="114" t="n">
        <x:v>3289</x:v>
      </x:c>
      <x:c r="J95" s="105" t="str">
        <x:v>2026-08</x:v>
      </x:c>
      <x:c r="K95" s="105" t="str">
        <x:v>AirDNA</x:v>
      </x:c>
      <x:c r="L95" s="105" t="str">
        <x:v>LARGE SUPPLY CHANGE: CHECK COVERAGE</x:v>
      </x:c>
      <x:c r="M95" s="105" t="str">
        <x:v>Restricted / location-dependent</x:v>
      </x:c>
    </x:row>
    <x:row r="96" ht="50" customHeight="1">
      <x:c r="A96" s="104" t="n">
        <x:v>90</x:v>
      </x:c>
      <x:c r="B96" s="105" t="str">
        <x:v>Estes Park</x:v>
      </x:c>
      <x:c r="C96" s="105" t="str">
        <x:v>CO</x:v>
      </x:c>
      <x:c r="D96" s="105" t="str">
        <x:v>National park gateway</x:v>
      </x:c>
      <x:c r="E96" s="113" t="n">
        <x:v>446</x:v>
      </x:c>
      <x:c r="F96" s="112" t="n">
        <x:v>0.57</x:v>
      </x:c>
      <x:c r="G96" s="113" t="n">
        <x:v>53500</x:v>
      </x:c>
      <x:c r="H96" s="113" t="n">
        <x:v>243</x:v>
      </x:c>
      <x:c r="I96" s="114" t="n">
        <x:v>2106</x:v>
      </x:c>
      <x:c r="J96" s="105" t="str">
        <x:v>2026-07</x:v>
      </x:c>
      <x:c r="K96" s="105" t="str">
        <x:v>AirDNA</x:v>
      </x:c>
      <x:c r="L96" s="105" t="str">
        <x:v>Dated vendor benchmark; match property comps</x:v>
      </x:c>
      <x:c r="M96" s="105" t="str">
        <x:v>Restricted / location-dependent</x:v>
      </x:c>
    </x:row>
    <x:row r="97" ht="50" customHeight="1">
      <x:c r="A97" s="104" t="n">
        <x:v>91</x:v>
      </x:c>
      <x:c r="B97" s="105" t="str">
        <x:v>Pagosa Springs</x:v>
      </x:c>
      <x:c r="C97" s="105" t="str">
        <x:v>CO</x:v>
      </x:c>
      <x:c r="D97" s="105" t="str">
        <x:v>Mountain / wellness</x:v>
      </x:c>
      <x:c r="E97" s="113" t="n">
        <x:v>256</x:v>
      </x:c>
      <x:c r="F97" s="112" t="n">
        <x:v>0.48</x:v>
      </x:c>
      <x:c r="G97" s="113" t="n">
        <x:v>23500</x:v>
      </x:c>
      <x:c r="H97" s="113" t="n">
        <x:v>119</x:v>
      </x:c>
      <x:c r="I97" s="114" t="n">
        <x:v>1648</x:v>
      </x:c>
      <x:c r="J97" s="105" t="str">
        <x:v>2026-07</x:v>
      </x:c>
      <x:c r="K97" s="105" t="str">
        <x:v>AirDNA</x:v>
      </x:c>
      <x:c r="L97" s="105" t="str">
        <x:v>Dated vendor benchmark; match property comps</x:v>
      </x:c>
      <x:c r="M97" s="105" t="str">
        <x:v>Local review not completed</x:v>
      </x:c>
    </x:row>
    <x:row r="98" ht="50" customHeight="1">
      <x:c r="A98" s="104" t="n">
        <x:v>92</x:v>
      </x:c>
      <x:c r="B98" s="105" t="str">
        <x:v>Durango</x:v>
      </x:c>
      <x:c r="C98" s="105" t="str">
        <x:v>CO</x:v>
      </x:c>
      <x:c r="D98" s="105" t="str">
        <x:v>Mountain / outdoor</x:v>
      </x:c>
      <x:c r="E98" s="113" t="n">
        <x:v>366.7</x:v>
      </x:c>
      <x:c r="F98" s="112" t="n">
        <x:v>0.48</x:v>
      </x:c>
      <x:c r="G98" s="113" t="n">
        <x:v>34200</x:v>
      </x:c>
      <x:c r="H98" s="113" t="n">
        <x:v>162.1</x:v>
      </x:c>
      <x:c r="I98" s="114" t="n">
        <x:v>1721</x:v>
      </x:c>
      <x:c r="J98" s="105" t="str">
        <x:v>Not disclosed</x:v>
      </x:c>
      <x:c r="K98" s="105" t="str">
        <x:v>AirDNA</x:v>
      </x:c>
      <x:c r="L98" s="105" t="str">
        <x:v>UNDATED SNAPSHOT</x:v>
      </x:c>
      <x:c r="M98" s="105" t="str">
        <x:v>Local review not completed</x:v>
      </x:c>
    </x:row>
    <x:row r="99" ht="50" customHeight="1">
      <x:c r="A99" s="104" t="n">
        <x:v>93</x:v>
      </x:c>
      <x:c r="B99" s="105" t="str">
        <x:v>Park City</x:v>
      </x:c>
      <x:c r="C99" s="105" t="str">
        <x:v>UT</x:v>
      </x:c>
      <x:c r="D99" s="105" t="str">
        <x:v>Mountain / ski</x:v>
      </x:c>
      <x:c r="E99" s="113" t="n">
        <x:v>897</x:v>
      </x:c>
      <x:c r="F99" s="112" t="n">
        <x:v>0.45</x:v>
      </x:c>
      <x:c r="G99" s="113" t="n">
        <x:v>50600</x:v>
      </x:c>
      <x:c r="H99" s="113" t="n">
        <x:v>392</x:v>
      </x:c>
      <x:c r="I99" s="114" t="n">
        <x:v>7506</x:v>
      </x:c>
      <x:c r="J99" s="105" t="str">
        <x:v>2026-06</x:v>
      </x:c>
      <x:c r="K99" s="105" t="str">
        <x:v>AirDNA</x:v>
      </x:c>
      <x:c r="L99" s="105" t="str">
        <x:v>Dated vendor benchmark; match property comps</x:v>
      </x:c>
      <x:c r="M99" s="105" t="str">
        <x:v>Local review not completed</x:v>
      </x:c>
    </x:row>
    <x:row r="100" ht="50" customHeight="1">
      <x:c r="A100" s="104" t="n">
        <x:v>94</x:v>
      </x:c>
      <x:c r="B100" s="105" t="str">
        <x:v>Hurricane</x:v>
      </x:c>
      <x:c r="C100" s="105" t="str">
        <x:v>UT</x:v>
      </x:c>
      <x:c r="D100" s="105" t="str">
        <x:v>National park gateway</x:v>
      </x:c>
      <x:c r="E100" s="113" t="n">
        <x:v>350</x:v>
      </x:c>
      <x:c r="F100" s="112" t="n">
        <x:v>0.5</x:v>
      </x:c>
      <x:c r="G100" s="113" t="n">
        <x:v>37600</x:v>
      </x:c>
      <x:c r="H100" s="113" t="n">
        <x:v>173</x:v>
      </x:c>
      <x:c r="I100" s="114" t="n">
        <x:v>1329</x:v>
      </x:c>
      <x:c r="J100" s="105" t="str">
        <x:v>2026-05</x:v>
      </x:c>
      <x:c r="K100" s="105" t="str">
        <x:v>AirDNA</x:v>
      </x:c>
      <x:c r="L100" s="105" t="str">
        <x:v>Dated vendor benchmark; match property comps</x:v>
      </x:c>
      <x:c r="M100" s="105" t="str">
        <x:v>Local review not completed</x:v>
      </x:c>
    </x:row>
    <x:row r="101" ht="50" customHeight="1">
      <x:c r="A101" s="104" t="n">
        <x:v>95</x:v>
      </x:c>
      <x:c r="B101" s="105" t="str">
        <x:v>Moab</x:v>
      </x:c>
      <x:c r="C101" s="105" t="str">
        <x:v>UT</x:v>
      </x:c>
      <x:c r="D101" s="105" t="str">
        <x:v>National park gateway</x:v>
      </x:c>
      <x:c r="E101" s="113" t="n">
        <x:v>302</x:v>
      </x:c>
      <x:c r="F101" s="112" t="n">
        <x:v>0.57</x:v>
      </x:c>
      <x:c r="G101" s="113" t="n">
        <x:v>55800</x:v>
      </x:c>
      <x:c r="H101" s="113" t="n">
        <x:v>173</x:v>
      </x:c>
      <x:c r="I101" s="114" t="n">
        <x:v>1347</x:v>
      </x:c>
      <x:c r="J101" s="105" t="str">
        <x:v>2026-07</x:v>
      </x:c>
      <x:c r="K101" s="105" t="str">
        <x:v>AirDNA</x:v>
      </x:c>
      <x:c r="L101" s="105" t="str">
        <x:v>Dated vendor benchmark; match property comps</x:v>
      </x:c>
      <x:c r="M101" s="105" t="str">
        <x:v>Local review not completed</x:v>
      </x:c>
    </x:row>
    <x:row r="102" ht="50" customHeight="1">
      <x:c r="A102" s="104" t="n">
        <x:v>96</x:v>
      </x:c>
      <x:c r="B102" s="105" t="str">
        <x:v>Whitefish</x:v>
      </x:c>
      <x:c r="C102" s="105" t="str">
        <x:v>MT</x:v>
      </x:c>
      <x:c r="D102" s="105" t="str">
        <x:v>Mountain / ski</x:v>
      </x:c>
      <x:c r="E102" s="113" t="n">
        <x:v>297</x:v>
      </x:c>
      <x:c r="F102" s="112" t="n">
        <x:v>0.62</x:v>
      </x:c>
      <x:c r="G102" s="113" t="n">
        <x:v>43200</x:v>
      </x:c>
      <x:c r="H102" s="113" t="n">
        <x:v>183</x:v>
      </x:c>
      <x:c r="I102" s="114" t="n">
        <x:v>810</x:v>
      </x:c>
      <x:c r="J102" s="105" t="str">
        <x:v>2026-07</x:v>
      </x:c>
      <x:c r="K102" s="105" t="str">
        <x:v>AirDNA</x:v>
      </x:c>
      <x:c r="L102" s="105" t="str">
        <x:v>LARGE SUPPLY CHANGE: CHECK COVERAGE</x:v>
      </x:c>
      <x:c r="M102" s="105" t="str">
        <x:v>Restricted / location-dependent</x:v>
      </x:c>
    </x:row>
    <x:row r="103" ht="50" customHeight="1">
      <x:c r="A103" s="104" t="n">
        <x:v>97</x:v>
      </x:c>
      <x:c r="B103" s="105" t="str">
        <x:v>West Yellowstone</x:v>
      </x:c>
      <x:c r="C103" s="105" t="str">
        <x:v>MT</x:v>
      </x:c>
      <x:c r="D103" s="105" t="str">
        <x:v>National park gateway</x:v>
      </x:c>
      <x:c r="E103" s="113" t="n">
        <x:v>542.1</x:v>
      </x:c>
      <x:c r="F103" s="112" t="n">
        <x:v>0.6</x:v>
      </x:c>
      <x:c r="G103" s="113" t="n">
        <x:v>41200</x:v>
      </x:c>
      <x:c r="H103" s="113" t="n">
        <x:v>322.1</x:v>
      </x:c>
      <x:c r="I103" s="114" t="n">
        <x:v>548</x:v>
      </x:c>
      <x:c r="J103" s="105" t="str">
        <x:v>Not disclosed</x:v>
      </x:c>
      <x:c r="K103" s="105" t="str">
        <x:v>AirDNA</x:v>
      </x:c>
      <x:c r="L103" s="105" t="str">
        <x:v>UNDATED SNAPSHOT</x:v>
      </x:c>
      <x:c r="M103" s="105" t="str">
        <x:v>Local review not completed</x:v>
      </x:c>
    </x:row>
    <x:row r="104" ht="50" customHeight="1">
      <x:c r="A104" s="104" t="n">
        <x:v>98</x:v>
      </x:c>
      <x:c r="B104" s="105" t="str">
        <x:v>Bend</x:v>
      </x:c>
      <x:c r="C104" s="105" t="str">
        <x:v>OR</x:v>
      </x:c>
      <x:c r="D104" s="105" t="str">
        <x:v>Outdoor / business</x:v>
      </x:c>
      <x:c r="E104" s="113" t="n">
        <x:v>363</x:v>
      </x:c>
      <x:c r="F104" s="112" t="n">
        <x:v>0.53</x:v>
      </x:c>
      <x:c r="G104" s="113" t="n">
        <x:v>35800</x:v>
      </x:c>
      <x:c r="H104" s="113" t="n">
        <x:v>182</x:v>
      </x:c>
      <x:c r="I104" s="114" t="n">
        <x:v>5159</x:v>
      </x:c>
      <x:c r="J104" s="105" t="str">
        <x:v>2026-07</x:v>
      </x:c>
      <x:c r="K104" s="105" t="str">
        <x:v>AirDNA</x:v>
      </x:c>
      <x:c r="L104" s="105" t="str">
        <x:v>Dated vendor benchmark; match property comps</x:v>
      </x:c>
      <x:c r="M104" s="105" t="str">
        <x:v>Restricted / location-dependent</x:v>
      </x:c>
    </x:row>
    <x:row r="105" ht="50" customHeight="1">
      <x:c r="A105" s="104" t="n">
        <x:v>99</x:v>
      </x:c>
      <x:c r="B105" s="105" t="str">
        <x:v>Lincoln City</x:v>
      </x:c>
      <x:c r="C105" s="105" t="str">
        <x:v>OR</x:v>
      </x:c>
      <x:c r="D105" s="105" t="str">
        <x:v>Beach / drive-to</x:v>
      </x:c>
      <x:c r="E105" s="113" t="n">
        <x:v>308</x:v>
      </x:c>
      <x:c r="F105" s="112" t="n">
        <x:v>0.56</x:v>
      </x:c>
      <x:c r="G105" s="113" t="n">
        <x:v>42800</x:v>
      </x:c>
      <x:c r="H105" s="113" t="n">
        <x:v>166</x:v>
      </x:c>
      <x:c r="I105" s="114" t="n">
        <x:v>1462</x:v>
      </x:c>
      <x:c r="J105" s="105" t="str">
        <x:v>2026-07</x:v>
      </x:c>
      <x:c r="K105" s="105" t="str">
        <x:v>AirDNA</x:v>
      </x:c>
      <x:c r="L105" s="105" t="str">
        <x:v>Dated vendor benchmark; match property comps</x:v>
      </x:c>
      <x:c r="M105" s="105" t="str">
        <x:v>Local review not completed</x:v>
      </x:c>
    </x:row>
    <x:row r="106" ht="50" customHeight="1">
      <x:c r="A106" s="104" t="n">
        <x:v>100</x:v>
      </x:c>
      <x:c r="B106" s="105" t="str">
        <x:v>Bar Harbor</x:v>
      </x:c>
      <x:c r="C106" s="105" t="str">
        <x:v>ME</x:v>
      </x:c>
      <x:c r="D106" s="105" t="str">
        <x:v>National park gateway</x:v>
      </x:c>
      <x:c r="E106" s="113" t="n">
        <x:v>447</x:v>
      </x:c>
      <x:c r="F106" s="112" t="n">
        <x:v>0.75</x:v>
      </x:c>
      <x:c r="G106" s="113" t="n">
        <x:v>43000</x:v>
      </x:c>
      <x:c r="H106" s="113" t="n">
        <x:v>327</x:v>
      </x:c>
      <x:c r="I106" s="114" t="n">
        <x:v>866</x:v>
      </x:c>
      <x:c r="J106" s="105" t="str">
        <x:v>2026-06</x:v>
      </x:c>
      <x:c r="K106" s="105" t="str">
        <x:v>AirDNA</x:v>
      </x:c>
      <x:c r="L106" s="105" t="str">
        <x:v>Dated vendor benchmark; match property comps</x:v>
      </x:c>
      <x:c r="M106" s="105" t="str">
        <x:v>Restricted / location-dependent</x:v>
      </x:c>
    </x:row>
  </x:sheetData>
  <x:mergeCells>
    <x:mergeCell ref="A1:G2"/>
    <x:mergeCell ref="A3:G4"/>
  </x:mergeCells>
  <x:conditionalFormatting sqref="L7:L106">
    <x:cfRule type="expression" dxfId="0" priority="1">
      <x:formula>L7&lt;&gt;"Dated vendor benchmark; match property comps"</x:formula>
    </x:cfRule>
  </x:conditionalFormatting>
  <x:pageMargins left="0.7" right="0.7" top="0.75" bottom="0.75" header="0.3" footer="0.3"/>
  <x:legacyDrawing xmlns:r="http://schemas.openxmlformats.org/officeDocument/2006/relationships" r:id="R7d0b9a4035fa4171"/>
  <x:tableParts count="1">
    <x:tablePart xmlns:r="http://schemas.openxmlformats.org/officeDocument/2006/relationships" r:id="Ra713f754d5274e4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0" hidden="0" customWidth="1"/>
    <x:col min="3" max="3" width="16" hidden="0" customWidth="1"/>
    <x:col min="4" max="4" width="34" hidden="0" customWidth="1"/>
    <x:col min="5" max="5" width="25" hidden="0" customWidth="1"/>
    <x:col min="6" max="6" width="18" hidden="0" customWidth="1"/>
    <x:col min="7" max="7" width="18" hidden="0" customWidth="1"/>
    <x:col min="8" max="8" width="42" hidden="0" customWidth="1"/>
    <x:col min="9" max="9" width="42" hidden="0" customWidth="1"/>
    <x:col min="10" max="10" width="38" hidden="0" customWidth="1"/>
  </x:cols>
  <x:sheetData>
    <x:row r="1" ht="28" customHeight="1">
      <x:c r="A1" s="80" t="str">
        <x:v>RESEARCH THESES | What to validate</x:v>
      </x:c>
      <x:c r="B1" s="80"/>
      <x:c r="C1" s="80"/>
      <x:c r="D1" s="80"/>
      <x:c r="E1" s="80"/>
      <x:c r="F1" s="80"/>
      <x:c r="G1" s="80"/>
      <x:c r="H1" s="80"/>
      <x:c r="I1" s="80"/>
      <x:c r="J1" s="80"/>
    </x:row>
    <x:row r="2" ht="24" customHeight="1">
      <x:c r="A2" s="80"/>
      <x:c r="B2" s="80"/>
      <x:c r="C2" s="80"/>
      <x:c r="D2" s="80"/>
      <x:c r="E2" s="80"/>
      <x:c r="F2" s="80"/>
      <x:c r="G2" s="80"/>
      <x:c r="H2" s="80"/>
      <x:c r="I2" s="80"/>
      <x:c r="J2" s="80"/>
    </x:row>
    <x:row r="3" ht="27" customHeight="1">
      <x:c r="A3" s="81" t="str">
        <x:v>Every field on this tab is an analyst screening hypothesis, not measured tourism, airport, appreciation or cash-flow data. 'Both' never implies a landlord or city has approved arbitrage.</x:v>
      </x:c>
      <x:c r="B3" s="81"/>
      <x:c r="C3" s="81"/>
      <x:c r="D3" s="81"/>
      <x:c r="E3" s="81"/>
      <x:c r="F3" s="81"/>
      <x:c r="G3" s="81"/>
      <x:c r="H3" s="81"/>
      <x:c r="I3" s="81"/>
      <x:c r="J3" s="81"/>
    </x:row>
    <x:row r="4" ht="27" customHeight="1">
      <x:c r="A4" s="81"/>
      <x:c r="B4" s="81"/>
      <x:c r="C4" s="81"/>
      <x:c r="D4" s="81"/>
      <x:c r="E4" s="81"/>
      <x:c r="F4" s="81"/>
      <x:c r="G4" s="81"/>
      <x:c r="H4" s="81"/>
      <x:c r="I4" s="81"/>
      <x:c r="J4" s="81"/>
    </x:row>
    <x:row r="5" ht="10" customHeight="1">
      <x:c r="A5" s="78"/>
      <x:c r="B5" s="78"/>
      <x:c r="C5" s="78"/>
      <x:c r="D5" s="78"/>
      <x:c r="E5" s="78"/>
      <x:c r="F5" s="78"/>
      <x:c r="G5" s="78"/>
      <x:c r="H5" s="78"/>
      <x:c r="I5" s="78"/>
      <x:c r="J5" s="78"/>
    </x:row>
    <x:row r="6" ht="37" customHeight="1">
      <x:c r="A6" s="103" t="str">
        <x:v>ID</x:v>
      </x:c>
      <x:c r="B6" s="103" t="str">
        <x:v>Market</x:v>
      </x:c>
      <x:c r="C6" s="103" t="str">
        <x:v>Seasonality (est.)</x:v>
      </x:c>
      <x:c r="D6" s="103" t="str">
        <x:v>Demand drivers to validate</x:v>
      </x:c>
      <x:c r="E6" s="103" t="str">
        <x:v>Likely guest niche</x:v>
      </x:c>
      <x:c r="F6" s="103" t="str">
        <x:v>Model to research</x:v>
      </x:c>
      <x:c r="G6" s="103" t="str">
        <x:v>Opportunity lens</x:v>
      </x:c>
      <x:c r="H6" s="103" t="str">
        <x:v>Why research this market</x:v>
      </x:c>
      <x:c r="I6" s="103" t="str">
        <x:v>Risks to investigate</x:v>
      </x:c>
      <x:c r="J6" s="103" t="str">
        <x:v>Access research</x:v>
      </x:c>
    </x:row>
    <x:row r="7" ht="72" customHeight="1">
      <x:c r="A7" s="105" t="n">
        <x:v>1</x:v>
      </x:c>
      <x:c r="B7" s="105" t="str">
        <x:v>Sevierville</x:v>
      </x:c>
      <x:c r="C7" s="105" t="str">
        <x:v>High</x:v>
      </x:c>
      <x:c r="D7" s="105" t="str">
        <x:v>Smoky Mountains access; cabin and family leisure</x:v>
      </x:c>
      <x:c r="E7" s="105" t="str">
        <x:v>Families / groups</x:v>
      </x:c>
      <x:c r="F7" s="105" t="str">
        <x:v>Ownership</x:v>
      </x:c>
      <x:c r="G7" s="105" t="str">
        <x:v>Balanced</x:v>
      </x:c>
      <x:c r="H7" s="105" t="str">
        <x:v>Compare a cabin's all-in cost with matched drive-to vacation comps</x:v>
      </x:c>
      <x:c r="I7" s="105" t="str">
        <x:v>Steep roads; septic capacity; wildfire insurance; cabin competition</x:v>
      </x:c>
      <x:c r="J7" s="105" t="str">
        <x:v>Test regional drive-to access, winter road reliability and service access</x:v>
      </x:c>
    </x:row>
    <x:row r="8" ht="72" customHeight="1">
      <x:c r="A8" s="105" t="n">
        <x:v>2</x:v>
      </x:c>
      <x:c r="B8" s="105" t="str">
        <x:v>Gatlinburg</x:v>
      </x:c>
      <x:c r="C8" s="105" t="str">
        <x:v>High</x:v>
      </x:c>
      <x:c r="D8" s="105" t="str">
        <x:v>National park gateway; downtown attractions</x:v>
      </x:c>
      <x:c r="E8" s="105" t="str">
        <x:v>Couples / families</x:v>
      </x:c>
      <x:c r="F8" s="105" t="str">
        <x:v>Ownership</x:v>
      </x:c>
      <x:c r="G8" s="105" t="str">
        <x:v>Premium revenue</x:v>
      </x:c>
      <x:c r="H8" s="105" t="str">
        <x:v>Test walkable lodging against view cabins rather than pooling both</x:v>
      </x:c>
      <x:c r="I8" s="105" t="str">
        <x:v>Mountain access; parking; fire exposure; high setup expectations</x:v>
      </x:c>
      <x:c r="J8" s="105" t="str">
        <x:v>Test regional drive-to access, winter road reliability and service access</x:v>
      </x:c>
    </x:row>
    <x:row r="9" ht="72" customHeight="1">
      <x:c r="A9" s="105" t="n">
        <x:v>3</x:v>
      </x:c>
      <x:c r="B9" s="105" t="str">
        <x:v>Pigeon Forge</x:v>
      </x:c>
      <x:c r="C9" s="105" t="str">
        <x:v>High</x:v>
      </x:c>
      <x:c r="D9" s="105" t="str">
        <x:v>Attractions corridor; theme-park and family trips</x:v>
      </x:c>
      <x:c r="E9" s="105" t="str">
        <x:v>Families / groups</x:v>
      </x:c>
      <x:c r="F9" s="105" t="str">
        <x:v>Ownership</x:v>
      </x:c>
      <x:c r="G9" s="105" t="str">
        <x:v>Balanced</x:v>
      </x:c>
      <x:c r="H9" s="105" t="str">
        <x:v>Underwrite attraction proximity and guest capacity as separate comp sets</x:v>
      </x:c>
      <x:c r="I9" s="105" t="str">
        <x:v>Traffic; resort fees; cabin oversupply; seasonal cash deficits</x:v>
      </x:c>
      <x:c r="J9" s="105" t="str">
        <x:v>Check guest-origin drive times, airport access and actual arrival logistics</x:v>
      </x:c>
    </x:row>
    <x:row r="10" ht="72" customHeight="1">
      <x:c r="A10" s="105" t="n">
        <x:v>4</x:v>
      </x:c>
      <x:c r="B10" s="105" t="str">
        <x:v>Blue Ridge</x:v>
      </x:c>
      <x:c r="C10" s="105" t="str">
        <x:v>High</x:v>
      </x:c>
      <x:c r="D10" s="105" t="str">
        <x:v>Mountain weekends; cabins and outdoor recreation</x:v>
      </x:c>
      <x:c r="E10" s="105" t="str">
        <x:v>Couples / small groups</x:v>
      </x:c>
      <x:c r="F10" s="105" t="str">
        <x:v>Ownership</x:v>
      </x:c>
      <x:c r="G10" s="105" t="str">
        <x:v>Premium revenue</x:v>
      </x:c>
      <x:c r="H10" s="105" t="str">
        <x:v>Explore differentiated cabins, not an assumed market-wide premium</x:v>
      </x:c>
      <x:c r="I10" s="105" t="str">
        <x:v>Steep access; wells/septic; maintenance; geographic data changes</x:v>
      </x:c>
      <x:c r="J10" s="105" t="str">
        <x:v>Test regional drive-to access, winter road reliability and service access</x:v>
      </x:c>
    </x:row>
    <x:row r="11" ht="72" customHeight="1">
      <x:c r="A11" s="105" t="n">
        <x:v>5</x:v>
      </x:c>
      <x:c r="B11" s="105" t="str">
        <x:v>Ellijay</x:v>
      </x:c>
      <x:c r="C11" s="105" t="str">
        <x:v>High</x:v>
      </x:c>
      <x:c r="D11" s="105" t="str">
        <x:v>Mountain retreats; orchards and outdoor weekends</x:v>
      </x:c>
      <x:c r="E11" s="105" t="str">
        <x:v>Families / couples</x:v>
      </x:c>
      <x:c r="F11" s="105" t="str">
        <x:v>Ownership</x:v>
      </x:c>
      <x:c r="G11" s="105" t="str">
        <x:v>Balanced</x:v>
      </x:c>
      <x:c r="H11" s="105" t="str">
        <x:v>Compare a lower-priced cabin strategy with nearby destination alternatives</x:v>
      </x:c>
      <x:c r="I11" s="105" t="str">
        <x:v>Road access; amenity costs; septic; data comparability</x:v>
      </x:c>
      <x:c r="J11" s="105" t="str">
        <x:v>Test regional drive-to access, winter road reliability and service access</x:v>
      </x:c>
    </x:row>
    <x:row r="12" ht="72" customHeight="1">
      <x:c r="A12" s="105" t="n">
        <x:v>6</x:v>
      </x:c>
      <x:c r="B12" s="105" t="str">
        <x:v>Broken Bow</x:v>
      </x:c>
      <x:c r="C12" s="105" t="str">
        <x:v>High</x:v>
      </x:c>
      <x:c r="D12" s="105" t="str">
        <x:v>Cabin weekends; lake and forest recreation</x:v>
      </x:c>
      <x:c r="E12" s="105" t="str">
        <x:v>Groups / families</x:v>
      </x:c>
      <x:c r="F12" s="105" t="str">
        <x:v>Ownership</x:v>
      </x:c>
      <x:c r="G12" s="105" t="str">
        <x:v>Premium revenue</x:v>
      </x:c>
      <x:c r="H12" s="105" t="str">
        <x:v>Test whether amenities earn enough revenue to cover their true capital cost</x:v>
      </x:c>
      <x:c r="I12" s="105" t="str">
        <x:v>Luxury-cabin competition; septic; storm risk; setup spending</x:v>
      </x:c>
      <x:c r="J12" s="105" t="str">
        <x:v>Check guest-origin drive times, airport access and actual arrival logistics</x:v>
      </x:c>
    </x:row>
    <x:row r="13" ht="72" customHeight="1">
      <x:c r="A13" s="105" t="n">
        <x:v>7</x:v>
      </x:c>
      <x:c r="B13" s="105" t="str">
        <x:v>Branson</x:v>
      </x:c>
      <x:c r="C13" s="105" t="str">
        <x:v>High</x:v>
      </x:c>
      <x:c r="D13" s="105" t="str">
        <x:v>Shows; family attractions; lake trips</x:v>
      </x:c>
      <x:c r="E13" s="105" t="str">
        <x:v>Families / groups</x:v>
      </x:c>
      <x:c r="F13" s="105" t="str">
        <x:v>Ownership</x:v>
      </x:c>
      <x:c r="G13" s="105" t="str">
        <x:v>Cash flow research</x:v>
      </x:c>
      <x:c r="H13" s="105" t="str">
        <x:v>Compare condos and houses separately using full management and HOA costs</x:v>
      </x:c>
      <x:c r="I13" s="105" t="str">
        <x:v>Condo assessments; resort fees; winter vacancy</x:v>
      </x:c>
      <x:c r="J13" s="105" t="str">
        <x:v>Check guest-origin drive times, airport access and actual arrival logistics</x:v>
      </x:c>
    </x:row>
    <x:row r="14" ht="72" customHeight="1">
      <x:c r="A14" s="105" t="n">
        <x:v>8</x:v>
      </x:c>
      <x:c r="B14" s="105" t="str">
        <x:v>Hot Springs</x:v>
      </x:c>
      <x:c r="C14" s="105" t="str">
        <x:v>High</x:v>
      </x:c>
      <x:c r="D14" s="105" t="str">
        <x:v>Park, lake and wellness-oriented travel</x:v>
      </x:c>
      <x:c r="E14" s="105" t="str">
        <x:v>Couples / families</x:v>
      </x:c>
      <x:c r="F14" s="105" t="str">
        <x:v>Ownership</x:v>
      </x:c>
      <x:c r="G14" s="105" t="str">
        <x:v>Balanced</x:v>
      </x:c>
      <x:c r="H14" s="105" t="str">
        <x:v>Investigate multiple leisure niches instead of relying on a single attraction</x:v>
      </x:c>
      <x:c r="I14" s="105" t="str">
        <x:v>Lake versus city comp mismatch; flood exposure; older homes</x:v>
      </x:c>
      <x:c r="J14" s="105" t="str">
        <x:v>Check guest-origin drive times, airport access and actual arrival logistics</x:v>
      </x:c>
    </x:row>
    <x:row r="15" ht="72" customHeight="1">
      <x:c r="A15" s="105" t="n">
        <x:v>9</x:v>
      </x:c>
      <x:c r="B15" s="105" t="str">
        <x:v>Gulf Shores</x:v>
      </x:c>
      <x:c r="C15" s="105" t="str">
        <x:v>High</x:v>
      </x:c>
      <x:c r="D15" s="105" t="str">
        <x:v>Beach holidays; family drive-to travel</x:v>
      </x:c>
      <x:c r="E15" s="105" t="str">
        <x:v>Families / groups</x:v>
      </x:c>
      <x:c r="F15" s="105" t="str">
        <x:v>Ownership</x:v>
      </x:c>
      <x:c r="G15" s="105" t="str">
        <x:v>Premium revenue</x:v>
      </x:c>
      <x:c r="H15" s="105" t="str">
        <x:v>Model beach proximity against insurance, HOA and acquisition premiums</x:v>
      </x:c>
      <x:c r="I15" s="105" t="str">
        <x:v>Wind/flood insurance; condo assessments; storm downtime</x:v>
      </x:c>
      <x:c r="J15" s="105" t="str">
        <x:v>Check guest-origin drive times, airport access and actual arrival logistics</x:v>
      </x:c>
    </x:row>
    <x:row r="16" ht="72" customHeight="1">
      <x:c r="A16" s="105" t="n">
        <x:v>10</x:v>
      </x:c>
      <x:c r="B16" s="105" t="str">
        <x:v>Orange Beach</x:v>
      </x:c>
      <x:c r="C16" s="105" t="str">
        <x:v>High</x:v>
      </x:c>
      <x:c r="D16" s="105" t="str">
        <x:v>Beach and boating trips; condo stays</x:v>
      </x:c>
      <x:c r="E16" s="105" t="str">
        <x:v>Families / groups</x:v>
      </x:c>
      <x:c r="F16" s="105" t="str">
        <x:v>Ownership</x:v>
      </x:c>
      <x:c r="G16" s="105" t="str">
        <x:v>Premium revenue</x:v>
      </x:c>
      <x:c r="H16" s="105" t="str">
        <x:v>Evaluate the full condo cost stack rather than gross annual revenue alone</x:v>
      </x:c>
      <x:c r="I16" s="105" t="str">
        <x:v>Coastal insurance; assessments; balcony/pool liabilities</x:v>
      </x:c>
      <x:c r="J16" s="105" t="str">
        <x:v>Check guest-origin drive times, airport access and actual arrival logistics</x:v>
      </x:c>
    </x:row>
    <x:row r="17" ht="72" customHeight="1">
      <x:c r="A17" s="105" t="n">
        <x:v>11</x:v>
      </x:c>
      <x:c r="B17" s="105" t="str">
        <x:v>Panama City Beach</x:v>
      </x:c>
      <x:c r="C17" s="105" t="str">
        <x:v>High</x:v>
      </x:c>
      <x:c r="D17" s="105" t="str">
        <x:v>Beach holidays; seasonal leisure</x:v>
      </x:c>
      <x:c r="E17" s="105" t="str">
        <x:v>Families / groups</x:v>
      </x:c>
      <x:c r="F17" s="105" t="str">
        <x:v>Ownership</x:v>
      </x:c>
      <x:c r="G17" s="105" t="str">
        <x:v>Balanced</x:v>
      </x:c>
      <x:c r="H17" s="105" t="str">
        <x:v>Compare bedroom- and building-matched condos with a stress-tested off-season</x:v>
      </x:c>
      <x:c r="I17" s="105" t="str">
        <x:v>Storm deductibles; association costs; intense unit competition</x:v>
      </x:c>
      <x:c r="J17" s="105" t="str">
        <x:v>Check guest-origin drive times, airport access and actual arrival logistics</x:v>
      </x:c>
    </x:row>
    <x:row r="18" ht="72" customHeight="1">
      <x:c r="A18" s="105" t="n">
        <x:v>12</x:v>
      </x:c>
      <x:c r="B18" s="105" t="str">
        <x:v>Destin</x:v>
      </x:c>
      <x:c r="C18" s="105" t="str">
        <x:v>High</x:v>
      </x:c>
      <x:c r="D18" s="105" t="str">
        <x:v>Beach and boating; family vacations</x:v>
      </x:c>
      <x:c r="E18" s="105" t="str">
        <x:v>Families / groups</x:v>
      </x:c>
      <x:c r="F18" s="105" t="str">
        <x:v>Ownership</x:v>
      </x:c>
      <x:c r="G18" s="105" t="str">
        <x:v>Premium revenue</x:v>
      </x:c>
      <x:c r="H18" s="105" t="str">
        <x:v>Test larger-home economics only against legally comparable guest capacity</x:v>
      </x:c>
      <x:c r="I18" s="105" t="str">
        <x:v>Purchase premiums; coastal insurance; parking limits</x:v>
      </x:c>
      <x:c r="J18" s="105" t="str">
        <x:v>Check guest-origin drive times, airport access and actual arrival logistics</x:v>
      </x:c>
    </x:row>
    <x:row r="19" ht="72" customHeight="1">
      <x:c r="A19" s="105" t="n">
        <x:v>13</x:v>
      </x:c>
      <x:c r="B19" s="105" t="str">
        <x:v>Fort Walton Beach</x:v>
      </x:c>
      <x:c r="C19" s="105" t="str">
        <x:v>High</x:v>
      </x:c>
      <x:c r="D19" s="105" t="str">
        <x:v>Beach travel; military-related visits</x:v>
      </x:c>
      <x:c r="E19" s="105" t="str">
        <x:v>Families / visiting personnel</x:v>
      </x:c>
      <x:c r="F19" s="105" t="str">
        <x:v>Both</x:v>
      </x:c>
      <x:c r="G19" s="105" t="str">
        <x:v>Balanced</x:v>
      </x:c>
      <x:c r="H19" s="105" t="str">
        <x:v>Investigate mixed leisure and visiting-family demand without assuming year-round occupancy</x:v>
      </x:c>
      <x:c r="I19" s="105" t="str">
        <x:v>City/island boundary mismatch; wind/flood risk; condo fees</x:v>
      </x:c>
      <x:c r="J19" s="105" t="str">
        <x:v>Check guest-origin drive times, airport access and actual arrival logistics</x:v>
      </x:c>
    </x:row>
    <x:row r="20" ht="72" customHeight="1">
      <x:c r="A20" s="105" t="n">
        <x:v>14</x:v>
      </x:c>
      <x:c r="B20" s="105" t="str">
        <x:v>Pensacola</x:v>
      </x:c>
      <x:c r="C20" s="105" t="str">
        <x:v>High</x:v>
      </x:c>
      <x:c r="D20" s="105" t="str">
        <x:v>Beach travel; military visits; downtown trips</x:v>
      </x:c>
      <x:c r="E20" s="105" t="str">
        <x:v>Families / couples</x:v>
      </x:c>
      <x:c r="F20" s="105" t="str">
        <x:v>Both</x:v>
      </x:c>
      <x:c r="G20" s="105" t="str">
        <x:v>Balanced</x:v>
      </x:c>
      <x:c r="H20" s="105" t="str">
        <x:v>Compare urban small homes with beach units as distinct businesses</x:v>
      </x:c>
      <x:c r="I20" s="105" t="str">
        <x:v>City versus beach geography; hurricane exposure; coverage shifts</x:v>
      </x:c>
      <x:c r="J20" s="105" t="str">
        <x:v>Check guest-origin drive times, airport access and actual arrival logistics</x:v>
      </x:c>
    </x:row>
    <x:row r="21" ht="72" customHeight="1">
      <x:c r="A21" s="105" t="n">
        <x:v>15</x:v>
      </x:c>
      <x:c r="B21" s="105" t="str">
        <x:v>Kissimmee</x:v>
      </x:c>
      <x:c r="C21" s="105" t="str">
        <x:v>Moderate</x:v>
      </x:c>
      <x:c r="D21" s="105" t="str">
        <x:v>Theme-park corridor; group family vacations</x:v>
      </x:c>
      <x:c r="E21" s="105" t="str">
        <x:v>Families / groups</x:v>
      </x:c>
      <x:c r="F21" s="105" t="str">
        <x:v>Ownership</x:v>
      </x:c>
      <x:c r="G21" s="105" t="str">
        <x:v>Balanced</x:v>
      </x:c>
      <x:c r="H21" s="105" t="str">
        <x:v>Test family-home economics using bedroom-specific comps and net fees</x:v>
      </x:c>
      <x:c r="I21" s="105" t="str">
        <x:v>Resort/HOA fees; pool costs; heavy competition; data-source differences</x:v>
      </x:c>
      <x:c r="J21" s="105" t="str">
        <x:v>Check guest-origin drive times, airport access and actual arrival logistics</x:v>
      </x:c>
    </x:row>
    <x:row r="22" ht="72" customHeight="1">
      <x:c r="A22" s="105" t="n">
        <x:v>16</x:v>
      </x:c>
      <x:c r="B22" s="105" t="str">
        <x:v>Davenport</x:v>
      </x:c>
      <x:c r="C22" s="105" t="str">
        <x:v>Moderate</x:v>
      </x:c>
      <x:c r="D22" s="105" t="str">
        <x:v>Theme-park access; resort-home stays</x:v>
      </x:c>
      <x:c r="E22" s="105" t="str">
        <x:v>Families / groups</x:v>
      </x:c>
      <x:c r="F22" s="105" t="str">
        <x:v>Ownership</x:v>
      </x:c>
      <x:c r="G22" s="105" t="str">
        <x:v>Balanced</x:v>
      </x:c>
      <x:c r="H22" s="105" t="str">
        <x:v>Compare a larger-home concept with the cost of differentiated amenities</x:v>
      </x:c>
      <x:c r="I22" s="105" t="str">
        <x:v>Drive times; resort charges; pool repairs; supply competition</x:v>
      </x:c>
      <x:c r="J22" s="105" t="str">
        <x:v>Check guest-origin drive times, airport access and actual arrival logistics</x:v>
      </x:c>
    </x:row>
    <x:row r="23" ht="72" customHeight="1">
      <x:c r="A23" s="105" t="n">
        <x:v>17</x:v>
      </x:c>
      <x:c r="B23" s="105" t="str">
        <x:v>St. Augustine</x:v>
      </x:c>
      <x:c r="C23" s="105" t="str">
        <x:v>High</x:v>
      </x:c>
      <x:c r="D23" s="105" t="str">
        <x:v>Historic sightseeing; beaches; weekend trips</x:v>
      </x:c>
      <x:c r="E23" s="105" t="str">
        <x:v>Couples / families</x:v>
      </x:c>
      <x:c r="F23" s="105" t="str">
        <x:v>Both</x:v>
      </x:c>
      <x:c r="G23" s="105" t="str">
        <x:v>Balanced</x:v>
      </x:c>
      <x:c r="H23" s="105" t="str">
        <x:v>Separate walkable historic stays from beach-property demand</x:v>
      </x:c>
      <x:c r="I23" s="105" t="str">
        <x:v>Historic versus beach comps; flood risk; parking</x:v>
      </x:c>
      <x:c r="J23" s="105" t="str">
        <x:v>Check guest-origin drive times, airport access and actual arrival logistics</x:v>
      </x:c>
    </x:row>
    <x:row r="24" ht="72" customHeight="1">
      <x:c r="A24" s="105" t="n">
        <x:v>18</x:v>
      </x:c>
      <x:c r="B24" s="105" t="str">
        <x:v>Crystal River</x:v>
      </x:c>
      <x:c r="C24" s="105" t="str">
        <x:v>High</x:v>
      </x:c>
      <x:c r="D24" s="105" t="str">
        <x:v>Water-based recreation; wildlife-oriented visits</x:v>
      </x:c>
      <x:c r="E24" s="105" t="str">
        <x:v>Couples / families</x:v>
      </x:c>
      <x:c r="F24" s="105" t="str">
        <x:v>Ownership</x:v>
      </x:c>
      <x:c r="G24" s="105" t="str">
        <x:v>Emerging research</x:v>
      </x:c>
      <x:c r="H24" s="105" t="str">
        <x:v>Test a smaller nature-travel niche with conservative shoulder-season revenue</x:v>
      </x:c>
      <x:c r="I24" s="105" t="str">
        <x:v>Flood/storm exposure; activity seasonality; water access</x:v>
      </x:c>
      <x:c r="J24" s="105" t="str">
        <x:v>Check guest-origin drive times, airport access and actual arrival logistics</x:v>
      </x:c>
    </x:row>
    <x:row r="25" ht="72" customHeight="1">
      <x:c r="A25" s="105" t="n">
        <x:v>19</x:v>
      </x:c>
      <x:c r="B25" s="105" t="str">
        <x:v>Cape Coral</x:v>
      </x:c>
      <x:c r="C25" s="105" t="str">
        <x:v>High</x:v>
      </x:c>
      <x:c r="D25" s="105" t="str">
        <x:v>Waterfront leisure; winter stays; family visits</x:v>
      </x:c>
      <x:c r="E25" s="105" t="str">
        <x:v>Families / longer-stay guests</x:v>
      </x:c>
      <x:c r="F25" s="105" t="str">
        <x:v>Ownership</x:v>
      </x:c>
      <x:c r="G25" s="105" t="str">
        <x:v>Balanced</x:v>
      </x:c>
      <x:c r="H25" s="105" t="str">
        <x:v>Evaluate longer vacation stays and full water-related maintenance costs</x:v>
      </x:c>
      <x:c r="I25" s="105" t="str">
        <x:v>Canal/flood exposure; wind insurance; pool and dock costs</x:v>
      </x:c>
      <x:c r="J25" s="105" t="str">
        <x:v>Check guest-origin drive times, airport access and actual arrival logistics</x:v>
      </x:c>
    </x:row>
    <x:row r="26" ht="72" customHeight="1">
      <x:c r="A26" s="105" t="n">
        <x:v>20</x:v>
      </x:c>
      <x:c r="B26" s="105" t="str">
        <x:v>Fort Lauderdale</x:v>
      </x:c>
      <x:c r="C26" s="105" t="str">
        <x:v>Moderate</x:v>
      </x:c>
      <x:c r="D26" s="105" t="str">
        <x:v>Beach; cruise-related and urban leisure</x:v>
      </x:c>
      <x:c r="E26" s="105" t="str">
        <x:v>Couples / groups</x:v>
      </x:c>
      <x:c r="F26" s="105" t="str">
        <x:v>Both</x:v>
      </x:c>
      <x:c r="G26" s="105" t="str">
        <x:v>Premium revenue</x:v>
      </x:c>
      <x:c r="H26" s="105" t="str">
        <x:v>Test a location-specific mix of leisure and pre/post-cruise stays</x:v>
      </x:c>
      <x:c r="I26" s="105" t="str">
        <x:v>Insurance; neighbor complaints; city fees; intense competition</x:v>
      </x:c>
      <x:c r="J26" s="105" t="str">
        <x:v>Check guest-origin drive times, airport access and actual arrival logistics</x:v>
      </x:c>
    </x:row>
    <x:row r="27" ht="72" customHeight="1">
      <x:c r="A27" s="105" t="n">
        <x:v>21</x:v>
      </x:c>
      <x:c r="B27" s="105" t="str">
        <x:v>Myrtle Beach</x:v>
      </x:c>
      <x:c r="C27" s="105" t="str">
        <x:v>High</x:v>
      </x:c>
      <x:c r="D27" s="105" t="str">
        <x:v>Beach trips; golf; family entertainment</x:v>
      </x:c>
      <x:c r="E27" s="105" t="str">
        <x:v>Families / golfers</x:v>
      </x:c>
      <x:c r="F27" s="105" t="str">
        <x:v>Ownership</x:v>
      </x:c>
      <x:c r="G27" s="105" t="str">
        <x:v>Cash flow research</x:v>
      </x:c>
      <x:c r="H27" s="105" t="str">
        <x:v>Compare condo cash flow after all association and management deductions</x:v>
      </x:c>
      <x:c r="I27" s="105" t="str">
        <x:v>HOA rental programs; hurricane exposure; seasonal vacancy</x:v>
      </x:c>
      <x:c r="J27" s="105" t="str">
        <x:v>Check guest-origin drive times, airport access and actual arrival logistics</x:v>
      </x:c>
    </x:row>
    <x:row r="28" ht="72" customHeight="1">
      <x:c r="A28" s="105" t="n">
        <x:v>22</x:v>
      </x:c>
      <x:c r="B28" s="105" t="str">
        <x:v>North Myrtle Beach</x:v>
      </x:c>
      <x:c r="C28" s="105" t="str">
        <x:v>High</x:v>
      </x:c>
      <x:c r="D28" s="105" t="str">
        <x:v>Beach and golf vacations</x:v>
      </x:c>
      <x:c r="E28" s="105" t="str">
        <x:v>Families / groups</x:v>
      </x:c>
      <x:c r="F28" s="105" t="str">
        <x:v>Ownership</x:v>
      </x:c>
      <x:c r="G28" s="105" t="str">
        <x:v>Balanced</x:v>
      </x:c>
      <x:c r="H28" s="105" t="str">
        <x:v>Research group stays with legal parking and capacity, not just bedroom count</x:v>
      </x:c>
      <x:c r="I28" s="105" t="str">
        <x:v>Wind/flood costs; large-home repairs; seasonal labor</x:v>
      </x:c>
      <x:c r="J28" s="105" t="str">
        <x:v>Check guest-origin drive times, airport access and actual arrival logistics</x:v>
      </x:c>
    </x:row>
    <x:row r="29" ht="72" customHeight="1">
      <x:c r="A29" s="105" t="n">
        <x:v>23</x:v>
      </x:c>
      <x:c r="B29" s="105" t="str">
        <x:v>Hilton Head Island</x:v>
      </x:c>
      <x:c r="C29" s="105" t="str">
        <x:v>High</x:v>
      </x:c>
      <x:c r="D29" s="105" t="str">
        <x:v>Beach; golf; resort vacations</x:v>
      </x:c>
      <x:c r="E29" s="105" t="str">
        <x:v>Families / golfers</x:v>
      </x:c>
      <x:c r="F29" s="105" t="str">
        <x:v>Ownership</x:v>
      </x:c>
      <x:c r="G29" s="105" t="str">
        <x:v>Premium revenue</x:v>
      </x:c>
      <x:c r="H29" s="105" t="str">
        <x:v>Compare resort communities using total annual ownership costs</x:v>
      </x:c>
      <x:c r="I29" s="105" t="str">
        <x:v>Association fees; insurance; resort access; data comparability</x:v>
      </x:c>
      <x:c r="J29" s="105" t="str">
        <x:v>Check guest-origin drive times, airport access and actual arrival logistics</x:v>
      </x:c>
    </x:row>
    <x:row r="30" ht="72" customHeight="1">
      <x:c r="A30" s="105" t="n">
        <x:v>24</x:v>
      </x:c>
      <x:c r="B30" s="105" t="str">
        <x:v>Charleston</x:v>
      </x:c>
      <x:c r="C30" s="105" t="str">
        <x:v>Moderate</x:v>
      </x:c>
      <x:c r="D30" s="105" t="str">
        <x:v>Historic visits; dining; weddings and events</x:v>
      </x:c>
      <x:c r="E30" s="105" t="str">
        <x:v>Couples / weekend guests</x:v>
      </x:c>
      <x:c r="F30" s="105" t="str">
        <x:v>Ownership</x:v>
      </x:c>
      <x:c r="G30" s="105" t="str">
        <x:v>Restricted-path research</x:v>
      </x:c>
      <x:c r="H30" s="105" t="str">
        <x:v>Research only a demonstrably eligible residential or commercial STR pathway</x:v>
      </x:c>
      <x:c r="I30" s="105" t="str">
        <x:v>Restricted legal inventory; parking; flood; old-building costs</x:v>
      </x:c>
      <x:c r="J30" s="105" t="str">
        <x:v>Check guest-origin drive times, airport access and actual arrival logistics</x:v>
      </x:c>
    </x:row>
    <x:row r="31" ht="72" customHeight="1">
      <x:c r="A31" s="105" t="n">
        <x:v>25</x:v>
      </x:c>
      <x:c r="B31" s="105" t="str">
        <x:v>Wilmington</x:v>
      </x:c>
      <x:c r="C31" s="105" t="str">
        <x:v>High</x:v>
      </x:c>
      <x:c r="D31" s="105" t="str">
        <x:v>Coastal and historic visits; university-related trips</x:v>
      </x:c>
      <x:c r="E31" s="105" t="str">
        <x:v>Families / visiting relatives</x:v>
      </x:c>
      <x:c r="F31" s="105" t="str">
        <x:v>Both</x:v>
      </x:c>
      <x:c r="G31" s="105" t="str">
        <x:v>Balanced</x:v>
      </x:c>
      <x:c r="H31" s="105" t="str">
        <x:v>Build a fresh matched comp set; use the published projection only as a question</x:v>
      </x:c>
      <x:c r="I31" s="105" t="str">
        <x:v>Vendor projection is not history; city/beach boundary; flood</x:v>
      </x:c>
      <x:c r="J31" s="105" t="str">
        <x:v>Check guest-origin drive times, airport access and actual arrival logistics</x:v>
      </x:c>
    </x:row>
    <x:row r="32" ht="72" customHeight="1">
      <x:c r="A32" s="105" t="n">
        <x:v>26</x:v>
      </x:c>
      <x:c r="B32" s="105" t="str">
        <x:v>Carolina Beach</x:v>
      </x:c>
      <x:c r="C32" s="105" t="str">
        <x:v>High</x:v>
      </x:c>
      <x:c r="D32" s="105" t="str">
        <x:v>Beach and boardwalk leisure</x:v>
      </x:c>
      <x:c r="E32" s="105" t="str">
        <x:v>Families / couples</x:v>
      </x:c>
      <x:c r="F32" s="105" t="str">
        <x:v>Ownership</x:v>
      </x:c>
      <x:c r="G32" s="105" t="str">
        <x:v>Balanced</x:v>
      </x:c>
      <x:c r="H32" s="105" t="str">
        <x:v>Compare beach-walkable units with insurance and turnover costs included</x:v>
      </x:c>
      <x:c r="I32" s="105" t="str">
        <x:v>Flood and wind; parking; summer concentration</x:v>
      </x:c>
      <x:c r="J32" s="105" t="str">
        <x:v>Check guest-origin drive times, airport access and actual arrival logistics</x:v>
      </x:c>
    </x:row>
    <x:row r="33" ht="72" customHeight="1">
      <x:c r="A33" s="105" t="n">
        <x:v>27</x:v>
      </x:c>
      <x:c r="B33" s="105" t="str">
        <x:v>Oak Island</x:v>
      </x:c>
      <x:c r="C33" s="105" t="str">
        <x:v>High</x:v>
      </x:c>
      <x:c r="D33" s="105" t="str">
        <x:v>Beach vacations; family drive-to stays</x:v>
      </x:c>
      <x:c r="E33" s="105" t="str">
        <x:v>Families / groups</x:v>
      </x:c>
      <x:c r="F33" s="105" t="str">
        <x:v>Ownership</x:v>
      </x:c>
      <x:c r="G33" s="105" t="str">
        <x:v>Balanced</x:v>
      </x:c>
      <x:c r="H33" s="105" t="str">
        <x:v>Evaluate family-home stays with a funded storm deductible and winter reserve</x:v>
      </x:c>
      <x:c r="I33" s="105" t="str">
        <x:v>Storm and flood risk; off-season losses; access repairs</x:v>
      </x:c>
      <x:c r="J33" s="105" t="str">
        <x:v>Check guest-origin drive times, airport access and actual arrival logistics</x:v>
      </x:c>
    </x:row>
    <x:row r="34" ht="72" customHeight="1">
      <x:c r="A34" s="105" t="n">
        <x:v>28</x:v>
      </x:c>
      <x:c r="B34" s="105" t="str">
        <x:v>Nags Head</x:v>
      </x:c>
      <x:c r="C34" s="105" t="str">
        <x:v>High</x:v>
      </x:c>
      <x:c r="D34" s="105" t="str">
        <x:v>Outer Banks beach holidays</x:v>
      </x:c>
      <x:c r="E34" s="105" t="str">
        <x:v>Families / groups</x:v>
      </x:c>
      <x:c r="F34" s="105" t="str">
        <x:v>Ownership</x:v>
      </x:c>
      <x:c r="G34" s="105" t="str">
        <x:v>Premium revenue</x:v>
      </x:c>
      <x:c r="H34" s="105" t="str">
        <x:v>Stress-test a beach house without relying on summer revenue all year</x:v>
      </x:c>
      <x:c r="I34" s="105" t="str">
        <x:v>Coastal erosion; wind/flood; pool maintenance; seasonality</x:v>
      </x:c>
      <x:c r="J34" s="105" t="str">
        <x:v>Check guest-origin drive times, airport access and actual arrival logistics</x:v>
      </x:c>
    </x:row>
    <x:row r="35" ht="72" customHeight="1">
      <x:c r="A35" s="105" t="n">
        <x:v>29</x:v>
      </x:c>
      <x:c r="B35" s="105" t="str">
        <x:v>Kill Devil Hills</x:v>
      </x:c>
      <x:c r="C35" s="105" t="str">
        <x:v>High</x:v>
      </x:c>
      <x:c r="D35" s="105" t="str">
        <x:v>Outer Banks beach stays; family trips</x:v>
      </x:c>
      <x:c r="E35" s="105" t="str">
        <x:v>Families / couples</x:v>
      </x:c>
      <x:c r="F35" s="105" t="str">
        <x:v>Ownership</x:v>
      </x:c>
      <x:c r="G35" s="105" t="str">
        <x:v>Balanced</x:v>
      </x:c>
      <x:c r="H35" s="105" t="str">
        <x:v>Compare smaller homes and beach access rather than using a broad coastal average</x:v>
      </x:c>
      <x:c r="I35" s="105" t="str">
        <x:v>Flood/wind; parking; location quality varies</x:v>
      </x:c>
      <x:c r="J35" s="105" t="str">
        <x:v>Check guest-origin drive times, airport access and actual arrival logistics</x:v>
      </x:c>
    </x:row>
    <x:row r="36" ht="72" customHeight="1">
      <x:c r="A36" s="105" t="n">
        <x:v>30</x:v>
      </x:c>
      <x:c r="B36" s="105" t="str">
        <x:v>Corolla</x:v>
      </x:c>
      <x:c r="C36" s="105" t="str">
        <x:v>High</x:v>
      </x:c>
      <x:c r="D36" s="105" t="str">
        <x:v>Large-group beach holidays</x:v>
      </x:c>
      <x:c r="E36" s="105" t="str">
        <x:v>Extended families / groups</x:v>
      </x:c>
      <x:c r="F36" s="105" t="str">
        <x:v>Ownership</x:v>
      </x:c>
      <x:c r="G36" s="105" t="str">
        <x:v>Premium revenue</x:v>
      </x:c>
      <x:c r="H36" s="105" t="str">
        <x:v>Test large-house gross revenue against replacement and service costs</x:v>
      </x:c>
      <x:c r="I36" s="105" t="str">
        <x:v>Remote service labor; storm access; pool upkeep; data shifts</x:v>
      </x:c>
      <x:c r="J36" s="105" t="str">
        <x:v>Check guest-origin drive times, airport access and actual arrival logistics</x:v>
      </x:c>
    </x:row>
    <x:row r="37" ht="72" customHeight="1">
      <x:c r="A37" s="105" t="n">
        <x:v>31</x:v>
      </x:c>
      <x:c r="B37" s="105" t="str">
        <x:v>Boone</x:v>
      </x:c>
      <x:c r="C37" s="105" t="str">
        <x:v>High</x:v>
      </x:c>
      <x:c r="D37" s="105" t="str">
        <x:v>University visits; mountain recreation</x:v>
      </x:c>
      <x:c r="E37" s="105" t="str">
        <x:v>Visiting families / outdoor guests</x:v>
      </x:c>
      <x:c r="F37" s="105" t="str">
        <x:v>Both</x:v>
      </x:c>
      <x:c r="G37" s="105" t="str">
        <x:v>Balanced</x:v>
      </x:c>
      <x:c r="H37" s="105" t="str">
        <x:v>Investigate a hybrid visit/recreation niche with documented non-event demand</x:v>
      </x:c>
      <x:c r="I37" s="105" t="str">
        <x:v>Student-housing versus vacation comps; access; zoning</x:v>
      </x:c>
      <x:c r="J37" s="105" t="str">
        <x:v>Check guest-origin drive times, airport access and actual arrival logistics</x:v>
      </x:c>
    </x:row>
    <x:row r="38" ht="72" customHeight="1">
      <x:c r="A38" s="105" t="n">
        <x:v>32</x:v>
      </x:c>
      <x:c r="B38" s="105" t="str">
        <x:v>Banner Elk</x:v>
      </x:c>
      <x:c r="C38" s="105" t="str">
        <x:v>High</x:v>
      </x:c>
      <x:c r="D38" s="105" t="str">
        <x:v>Mountain and ski-area visits</x:v>
      </x:c>
      <x:c r="E38" s="105" t="str">
        <x:v>Families / outdoor guests</x:v>
      </x:c>
      <x:c r="F38" s="105" t="str">
        <x:v>Ownership</x:v>
      </x:c>
      <x:c r="G38" s="105" t="str">
        <x:v>Balanced</x:v>
      </x:c>
      <x:c r="H38" s="105" t="str">
        <x:v>Compare two-season mountain demand against higher winter operating costs</x:v>
      </x:c>
      <x:c r="I38" s="105" t="str">
        <x:v>Winter roads; weather dependence; septic; condo fees</x:v>
      </x:c>
      <x:c r="J38" s="105" t="str">
        <x:v>Check guest-origin drive times, airport access and actual arrival logistics</x:v>
      </x:c>
    </x:row>
    <x:row r="39" ht="72" customHeight="1">
      <x:c r="A39" s="105" t="n">
        <x:v>33</x:v>
      </x:c>
      <x:c r="B39" s="105" t="str">
        <x:v>Bryson City</x:v>
      </x:c>
      <x:c r="C39" s="105" t="str">
        <x:v>High</x:v>
      </x:c>
      <x:c r="D39" s="105" t="str">
        <x:v>Park gateway; scenic rail and outdoor trips</x:v>
      </x:c>
      <x:c r="E39" s="105" t="str">
        <x:v>Families / couples</x:v>
      </x:c>
      <x:c r="F39" s="105" t="str">
        <x:v>Ownership</x:v>
      </x:c>
      <x:c r="G39" s="105" t="str">
        <x:v>Balanced</x:v>
      </x:c>
      <x:c r="H39" s="105" t="str">
        <x:v>Research small cabins with distinctive location and manageable setup costs</x:v>
      </x:c>
      <x:c r="I39" s="105" t="str">
        <x:v>Mountain access; flood near waterways; seasonal labor</x:v>
      </x:c>
      <x:c r="J39" s="105" t="str">
        <x:v>Test regional drive-to access, winter road reliability and service access</x:v>
      </x:c>
    </x:row>
    <x:row r="40" ht="72" customHeight="1">
      <x:c r="A40" s="105" t="n">
        <x:v>34</x:v>
      </x:c>
      <x:c r="B40" s="105" t="str">
        <x:v>Asheville</x:v>
      </x:c>
      <x:c r="C40" s="105" t="str">
        <x:v>Moderate</x:v>
      </x:c>
      <x:c r="D40" s="105" t="str">
        <x:v>Mountain gateway; arts and leisure trips</x:v>
      </x:c>
      <x:c r="E40" s="105" t="str">
        <x:v>Couples / families</x:v>
      </x:c>
      <x:c r="F40" s="105" t="str">
        <x:v>Ownership</x:v>
      </x:c>
      <x:c r="G40" s="105" t="str">
        <x:v>Restricted-path research</x:v>
      </x:c>
      <x:c r="H40" s="105" t="str">
        <x:v>Investigate only a documented legal pathway; citywide demand is not permission</x:v>
      </x:c>
      <x:c r="I40" s="105" t="str">
        <x:v>Whole-home city restrictions; flood recovery; mixed regional geography</x:v>
      </x:c>
      <x:c r="J40" s="105" t="str">
        <x:v>Check guest-origin drive times, airport access and actual arrival logistics</x:v>
      </x:c>
    </x:row>
    <x:row r="41" ht="72" customHeight="1">
      <x:c r="A41" s="105" t="n">
        <x:v>35</x:v>
      </x:c>
      <x:c r="B41" s="105" t="str">
        <x:v>Luray</x:v>
      </x:c>
      <x:c r="C41" s="105" t="str">
        <x:v>High</x:v>
      </x:c>
      <x:c r="D41" s="105" t="str">
        <x:v>Cavern and national-park gateway visits</x:v>
      </x:c>
      <x:c r="E41" s="105" t="str">
        <x:v>Families / couples</x:v>
      </x:c>
      <x:c r="F41" s="105" t="str">
        <x:v>Ownership</x:v>
      </x:c>
      <x:c r="G41" s="105" t="str">
        <x:v>Balanced</x:v>
      </x:c>
      <x:c r="H41" s="105" t="str">
        <x:v>Compare a drive-to nature retreat with less expensive conventional housing comps</x:v>
      </x:c>
      <x:c r="I41" s="105" t="str">
        <x:v>Septic; mountain roads; weekend concentration</x:v>
      </x:c>
      <x:c r="J41" s="105" t="str">
        <x:v>Test regional drive-to access, winter road reliability and service access</x:v>
      </x:c>
    </x:row>
    <x:row r="42" ht="72" customHeight="1">
      <x:c r="A42" s="105" t="n">
        <x:v>36</x:v>
      </x:c>
      <x:c r="B42" s="105" t="str">
        <x:v>Front Royal</x:v>
      </x:c>
      <x:c r="C42" s="105" t="str">
        <x:v>High</x:v>
      </x:c>
      <x:c r="D42" s="105" t="str">
        <x:v>National-park gateway; river and outdoor weekends</x:v>
      </x:c>
      <x:c r="E42" s="105" t="str">
        <x:v>Couples / families</x:v>
      </x:c>
      <x:c r="F42" s="105" t="str">
        <x:v>Both</x:v>
      </x:c>
      <x:c r="G42" s="105" t="str">
        <x:v>Balanced</x:v>
      </x:c>
      <x:c r="H42" s="105" t="str">
        <x:v>Test weekend leisure against a conservative weekday base</x:v>
      </x:c>
      <x:c r="I42" s="105" t="str">
        <x:v>Flood near rivers; commuter versus leisure comps; access</x:v>
      </x:c>
      <x:c r="J42" s="105" t="str">
        <x:v>Test regional drive-to access, winter road reliability and service access</x:v>
      </x:c>
    </x:row>
    <x:row r="43" ht="72" customHeight="1">
      <x:c r="A43" s="105" t="n">
        <x:v>37</x:v>
      </x:c>
      <x:c r="B43" s="105" t="str">
        <x:v>Massanutten</x:v>
      </x:c>
      <x:c r="C43" s="105" t="str">
        <x:v>High</x:v>
      </x:c>
      <x:c r="D43" s="105" t="str">
        <x:v>Four-season resort and mountain recreation</x:v>
      </x:c>
      <x:c r="E43" s="105" t="str">
        <x:v>Families / groups</x:v>
      </x:c>
      <x:c r="F43" s="105" t="str">
        <x:v>Ownership</x:v>
      </x:c>
      <x:c r="G43" s="105" t="str">
        <x:v>Data-gap research</x:v>
      </x:c>
      <x:c r="H43" s="105" t="str">
        <x:v>A niche candidate requiring a fresh property-level revenue study before underwriting</x:v>
      </x:c>
      <x:c r="I43" s="105" t="str">
        <x:v>No usable public STR benchmark retrieved; resort/HOA fees</x:v>
      </x:c>
      <x:c r="J43" s="105" t="str">
        <x:v>Check guest-origin drive times, airport access and actual arrival logistics</x:v>
      </x:c>
    </x:row>
    <x:row r="44" ht="72" customHeight="1">
      <x:c r="A44" s="105" t="n">
        <x:v>38</x:v>
      </x:c>
      <x:c r="B44" s="105" t="str">
        <x:v>Stowe</x:v>
      </x:c>
      <x:c r="C44" s="105" t="str">
        <x:v>High</x:v>
      </x:c>
      <x:c r="D44" s="105" t="str">
        <x:v>Ski and summer mountain travel</x:v>
      </x:c>
      <x:c r="E44" s="105" t="str">
        <x:v>Families / outdoor guests</x:v>
      </x:c>
      <x:c r="F44" s="105" t="str">
        <x:v>Ownership</x:v>
      </x:c>
      <x:c r="G44" s="105" t="str">
        <x:v>Premium revenue</x:v>
      </x:c>
      <x:c r="H44" s="105" t="str">
        <x:v>Test two-season revenue against heating and replacement costs</x:v>
      </x:c>
      <x:c r="I44" s="105" t="str">
        <x:v>Snow removal; high capital cost; short peak windows</x:v>
      </x:c>
      <x:c r="J44" s="105" t="str">
        <x:v>Check guest-origin drive times, airport access and actual arrival logistics</x:v>
      </x:c>
    </x:row>
    <x:row r="45" ht="72" customHeight="1">
      <x:c r="A45" s="105" t="n">
        <x:v>39</x:v>
      </x:c>
      <x:c r="B45" s="105" t="str">
        <x:v>Tobyhanna</x:v>
      </x:c>
      <x:c r="C45" s="105" t="str">
        <x:v>High</x:v>
      </x:c>
      <x:c r="D45" s="105" t="str">
        <x:v>Poconos weekend retreats; group leisure</x:v>
      </x:c>
      <x:c r="E45" s="105" t="str">
        <x:v>Groups / families</x:v>
      </x:c>
      <x:c r="F45" s="105" t="str">
        <x:v>Ownership</x:v>
      </x:c>
      <x:c r="G45" s="105" t="str">
        <x:v>Cash flow research</x:v>
      </x:c>
      <x:c r="H45" s="105" t="str">
        <x:v>Compare the exact community and legal guest capacity, not the entire Poconos</x:v>
      </x:c>
      <x:c r="I45" s="105" t="str">
        <x:v>HOA prohibitions; party/noise complaints; weak comp quality</x:v>
      </x:c>
      <x:c r="J45" s="105" t="str">
        <x:v>Check guest-origin drive times, airport access and actual arrival logistics</x:v>
      </x:c>
    </x:row>
    <x:row r="46" ht="72" customHeight="1">
      <x:c r="A46" s="105" t="n">
        <x:v>40</x:v>
      </x:c>
      <x:c r="B46" s="105" t="str">
        <x:v>Pocono Pines</x:v>
      </x:c>
      <x:c r="C46" s="105" t="str">
        <x:v>High</x:v>
      </x:c>
      <x:c r="D46" s="105" t="str">
        <x:v>Lake-community and mountain weekends</x:v>
      </x:c>
      <x:c r="E46" s="105" t="str">
        <x:v>Families / groups</x:v>
      </x:c>
      <x:c r="F46" s="105" t="str">
        <x:v>Ownership</x:v>
      </x:c>
      <x:c r="G46" s="105" t="str">
        <x:v>Balanced</x:v>
      </x:c>
      <x:c r="H46" s="105" t="str">
        <x:v>Test whether guests actually receive the amenities used to justify ADR</x:v>
      </x:c>
      <x:c r="I46" s="105" t="str">
        <x:v>Private amenity access; HOA fees; guest rules</x:v>
      </x:c>
      <x:c r="J46" s="105" t="str">
        <x:v>Check guest-origin drive times, airport access and actual arrival logistics</x:v>
      </x:c>
    </x:row>
    <x:row r="47" ht="72" customHeight="1">
      <x:c r="A47" s="105" t="n">
        <x:v>41</x:v>
      </x:c>
      <x:c r="B47" s="105" t="str">
        <x:v>Jim Thorpe</x:v>
      </x:c>
      <x:c r="C47" s="105" t="str">
        <x:v>High</x:v>
      </x:c>
      <x:c r="D47" s="105" t="str">
        <x:v>Historic-town weekends; outdoor recreation</x:v>
      </x:c>
      <x:c r="E47" s="105" t="str">
        <x:v>Couples / families</x:v>
      </x:c>
      <x:c r="F47" s="105" t="str">
        <x:v>Both</x:v>
      </x:c>
      <x:c r="G47" s="105" t="str">
        <x:v>Balanced</x:v>
      </x:c>
      <x:c r="H47" s="105" t="str">
        <x:v>Evaluate walkability and parking premiums with small-property comps</x:v>
      </x:c>
      <x:c r="I47" s="105" t="str">
        <x:v>Parking; old buildings; seasonal demand</x:v>
      </x:c>
      <x:c r="J47" s="105" t="str">
        <x:v>Check guest-origin drive times, airport access and actual arrival logistics</x:v>
      </x:c>
    </x:row>
    <x:row r="48" ht="72" customHeight="1">
      <x:c r="A48" s="105" t="n">
        <x:v>42</x:v>
      </x:c>
      <x:c r="B48" s="105" t="str">
        <x:v>Lake Harmony</x:v>
      </x:c>
      <x:c r="C48" s="105" t="str">
        <x:v>High</x:v>
      </x:c>
      <x:c r="D48" s="105" t="str">
        <x:v>Lake and ski-area vacations</x:v>
      </x:c>
      <x:c r="E48" s="105" t="str">
        <x:v>Families / groups</x:v>
      </x:c>
      <x:c r="F48" s="105" t="str">
        <x:v>Ownership</x:v>
      </x:c>
      <x:c r="G48" s="105" t="str">
        <x:v>Balanced</x:v>
      </x:c>
      <x:c r="H48" s="105" t="str">
        <x:v>Research multi-season stays without assuming every property has lake rights</x:v>
      </x:c>
      <x:c r="I48" s="105" t="str">
        <x:v>Association rules; noise; lake access; winter costs</x:v>
      </x:c>
      <x:c r="J48" s="105" t="str">
        <x:v>Check guest-origin drive times, airport access and actual arrival logistics</x:v>
      </x:c>
    </x:row>
    <x:row r="49" ht="72" customHeight="1">
      <x:c r="A49" s="105" t="n">
        <x:v>43</x:v>
      </x:c>
      <x:c r="B49" s="105" t="str">
        <x:v>Lancaster</x:v>
      </x:c>
      <x:c r="C49" s="105" t="str">
        <x:v>Moderate</x:v>
      </x:c>
      <x:c r="D49" s="105" t="str">
        <x:v>Heritage tourism; family visits; regional events</x:v>
      </x:c>
      <x:c r="E49" s="105" t="str">
        <x:v>Families / couples</x:v>
      </x:c>
      <x:c r="F49" s="105" t="str">
        <x:v>Both</x:v>
      </x:c>
      <x:c r="G49" s="105" t="str">
        <x:v>Balanced</x:v>
      </x:c>
      <x:c r="H49" s="105" t="str">
        <x:v>Investigate several small-demand niches rather than one major event</x:v>
      </x:c>
      <x:c r="I49" s="105" t="str">
        <x:v>City versus county data; old-building costs; event dependence</x:v>
      </x:c>
      <x:c r="J49" s="105" t="str">
        <x:v>Check guest-origin drive times, airport access and actual arrival logistics</x:v>
      </x:c>
    </x:row>
    <x:row r="50" ht="72" customHeight="1">
      <x:c r="A50" s="105" t="n">
        <x:v>44</x:v>
      </x:c>
      <x:c r="B50" s="105" t="str">
        <x:v>Gettysburg</x:v>
      </x:c>
      <x:c r="C50" s="105" t="str">
        <x:v>High</x:v>
      </x:c>
      <x:c r="D50" s="105" t="str">
        <x:v>Historic sites; educational and heritage trips</x:v>
      </x:c>
      <x:c r="E50" s="105" t="str">
        <x:v>Families / history visitors</x:v>
      </x:c>
      <x:c r="F50" s="105" t="str">
        <x:v>Both</x:v>
      </x:c>
      <x:c r="G50" s="105" t="str">
        <x:v>Balanced</x:v>
      </x:c>
      <x:c r="H50" s="105" t="str">
        <x:v>Test heritage-travel stays with a conservative winter operating plan</x:v>
      </x:c>
      <x:c r="I50" s="105" t="str">
        <x:v>Summer/event concentration; aging housing stock</x:v>
      </x:c>
      <x:c r="J50" s="105" t="str">
        <x:v>Check guest-origin drive times, airport access and actual arrival logistics</x:v>
      </x:c>
    </x:row>
    <x:row r="51" ht="72" customHeight="1">
      <x:c r="A51" s="105" t="n">
        <x:v>45</x:v>
      </x:c>
      <x:c r="B51" s="105" t="str">
        <x:v>Logan</x:v>
      </x:c>
      <x:c r="C51" s="105" t="str">
        <x:v>High</x:v>
      </x:c>
      <x:c r="D51" s="105" t="str">
        <x:v>Hocking Hills nature and cabin stays</x:v>
      </x:c>
      <x:c r="E51" s="105" t="str">
        <x:v>Couples / groups</x:v>
      </x:c>
      <x:c r="F51" s="105" t="str">
        <x:v>Ownership</x:v>
      </x:c>
      <x:c r="G51" s="105" t="str">
        <x:v>Premium revenue</x:v>
      </x:c>
      <x:c r="H51" s="105" t="str">
        <x:v>Compare distinctive nature lodging with full infrastructure and service costs</x:v>
      </x:c>
      <x:c r="I51" s="105" t="str">
        <x:v>Septic; fire/access; hot-tub maintenance; data shifts</x:v>
      </x:c>
      <x:c r="J51" s="105" t="str">
        <x:v>Check guest-origin drive times, airport access and actual arrival logistics</x:v>
      </x:c>
    </x:row>
    <x:row r="52" ht="72" customHeight="1">
      <x:c r="A52" s="105" t="n">
        <x:v>46</x:v>
      </x:c>
      <x:c r="B52" s="105" t="str">
        <x:v>Sandusky</x:v>
      </x:c>
      <x:c r="C52" s="105" t="str">
        <x:v>High</x:v>
      </x:c>
      <x:c r="D52" s="105" t="str">
        <x:v>Amusement-park trips; Lake Erie recreation</x:v>
      </x:c>
      <x:c r="E52" s="105" t="str">
        <x:v>Families / groups</x:v>
      </x:c>
      <x:c r="F52" s="105" t="str">
        <x:v>Ownership</x:v>
      </x:c>
      <x:c r="G52" s="105" t="str">
        <x:v>Cash flow research</x:v>
      </x:c>
      <x:c r="H52" s="105" t="str">
        <x:v>Model the closed/low-demand season before accepting annual-average occupancy</x:v>
      </x:c>
      <x:c r="I52" s="105" t="str">
        <x:v>Summer concentration; waterfront flood; old-home maintenance</x:v>
      </x:c>
      <x:c r="J52" s="105" t="str">
        <x:v>Check guest-origin drive times, airport access and actual arrival logistics</x:v>
      </x:c>
    </x:row>
    <x:row r="53" ht="72" customHeight="1">
      <x:c r="A53" s="105" t="n">
        <x:v>47</x:v>
      </x:c>
      <x:c r="B53" s="105" t="str">
        <x:v>Traverse City</x:v>
      </x:c>
      <x:c r="C53" s="105" t="str">
        <x:v>High</x:v>
      </x:c>
      <x:c r="D53" s="105" t="str">
        <x:v>Lake holidays; food and wine-oriented weekends</x:v>
      </x:c>
      <x:c r="E53" s="105" t="str">
        <x:v>Couples / families</x:v>
      </x:c>
      <x:c r="F53" s="105" t="str">
        <x:v>Ownership</x:v>
      </x:c>
      <x:c r="G53" s="105" t="str">
        <x:v>Balanced</x:v>
      </x:c>
      <x:c r="H53" s="105" t="str">
        <x:v>Compare a legally eligible unit with its specific neighborhood's competitors</x:v>
      </x:c>
      <x:c r="I53" s="105" t="str">
        <x:v>Permit availability; seasonal vacancy; data-boundary questions</x:v>
      </x:c>
      <x:c r="J53" s="105" t="str">
        <x:v>Check guest-origin drive times, airport access and actual arrival logistics</x:v>
      </x:c>
    </x:row>
    <x:row r="54" ht="72" customHeight="1">
      <x:c r="A54" s="105" t="n">
        <x:v>48</x:v>
      </x:c>
      <x:c r="B54" s="105" t="str">
        <x:v>New Buffalo</x:v>
      </x:c>
      <x:c r="C54" s="105" t="str">
        <x:v>High</x:v>
      </x:c>
      <x:c r="D54" s="105" t="str">
        <x:v>Lake Michigan weekends; regional drive-to trips</x:v>
      </x:c>
      <x:c r="E54" s="105" t="str">
        <x:v>Families / couples</x:v>
      </x:c>
      <x:c r="F54" s="105" t="str">
        <x:v>Ownership</x:v>
      </x:c>
      <x:c r="G54" s="105" t="str">
        <x:v>Restricted-path research</x:v>
      </x:c>
      <x:c r="H54" s="105" t="str">
        <x:v>Research documented lawful inventory rather than a new STR conversion assumption</x:v>
      </x:c>
      <x:c r="I54" s="105" t="str">
        <x:v>Restrictions on new residential STRs; seasonal income</x:v>
      </x:c>
      <x:c r="J54" s="105" t="str">
        <x:v>Check guest-origin drive times, airport access and actual arrival logistics</x:v>
      </x:c>
    </x:row>
    <x:row r="55" ht="72" customHeight="1">
      <x:c r="A55" s="105" t="n">
        <x:v>49</x:v>
      </x:c>
      <x:c r="B55" s="105" t="str">
        <x:v>Wisconsin Dells</x:v>
      </x:c>
      <x:c r="C55" s="105" t="str">
        <x:v>High</x:v>
      </x:c>
      <x:c r="D55" s="105" t="str">
        <x:v>Waterparks; family vacations</x:v>
      </x:c>
      <x:c r="E55" s="105" t="str">
        <x:v>Families / groups</x:v>
      </x:c>
      <x:c r="F55" s="105" t="str">
        <x:v>Ownership</x:v>
      </x:c>
      <x:c r="G55" s="105" t="str">
        <x:v>Cash flow research</x:v>
      </x:c>
      <x:c r="H55" s="105" t="str">
        <x:v>Compare independently operated units with mandatory rental-pool economics</x:v>
      </x:c>
      <x:c r="I55" s="105" t="str">
        <x:v>Resort management fees; winter mix; condo restrictions</x:v>
      </x:c>
      <x:c r="J55" s="105" t="str">
        <x:v>Check guest-origin drive times, airport access and actual arrival logistics</x:v>
      </x:c>
    </x:row>
    <x:row r="56" ht="72" customHeight="1">
      <x:c r="A56" s="105" t="n">
        <x:v>50</x:v>
      </x:c>
      <x:c r="B56" s="105" t="str">
        <x:v>Lake Geneva</x:v>
      </x:c>
      <x:c r="C56" s="105" t="str">
        <x:v>High</x:v>
      </x:c>
      <x:c r="D56" s="105" t="str">
        <x:v>Lake weekends; weddings; regional leisure</x:v>
      </x:c>
      <x:c r="E56" s="105" t="str">
        <x:v>Couples / families</x:v>
      </x:c>
      <x:c r="F56" s="105" t="str">
        <x:v>Ownership</x:v>
      </x:c>
      <x:c r="G56" s="105" t="str">
        <x:v>Premium revenue</x:v>
      </x:c>
      <x:c r="H56" s="105" t="str">
        <x:v>Test weekend demand against financing and off-season carrying costs</x:v>
      </x:c>
      <x:c r="I56" s="105" t="str">
        <x:v>High purchase costs; event seasonality; parking and neighbors</x:v>
      </x:c>
      <x:c r="J56" s="105" t="str">
        <x:v>Check guest-origin drive times, airport access and actual arrival logistics</x:v>
      </x:c>
    </x:row>
    <x:row r="57" ht="72" customHeight="1">
      <x:c r="A57" s="105" t="n">
        <x:v>51</x:v>
      </x:c>
      <x:c r="B57" s="105" t="str">
        <x:v>Osage Beach</x:v>
      </x:c>
      <x:c r="C57" s="105" t="str">
        <x:v>High</x:v>
      </x:c>
      <x:c r="D57" s="105" t="str">
        <x:v>Lake of the Ozarks boating and family stays</x:v>
      </x:c>
      <x:c r="E57" s="105" t="str">
        <x:v>Families / groups</x:v>
      </x:c>
      <x:c r="F57" s="105" t="str">
        <x:v>Ownership</x:v>
      </x:c>
      <x:c r="G57" s="105" t="str">
        <x:v>Balanced</x:v>
      </x:c>
      <x:c r="H57" s="105" t="str">
        <x:v>Compare lake access and view premiums with their maintenance burden</x:v>
      </x:c>
      <x:c r="I57" s="105" t="str">
        <x:v>Dock/pool liabilities; flood/storm; association costs</x:v>
      </x:c>
      <x:c r="J57" s="105" t="str">
        <x:v>Check guest-origin drive times, airport access and actual arrival logistics</x:v>
      </x:c>
    </x:row>
    <x:row r="58" ht="72" customHeight="1">
      <x:c r="A58" s="105" t="n">
        <x:v>52</x:v>
      </x:c>
      <x:c r="B58" s="105" t="str">
        <x:v>Eureka Springs</x:v>
      </x:c>
      <x:c r="C58" s="105" t="str">
        <x:v>High</x:v>
      </x:c>
      <x:c r="D58" s="105" t="str">
        <x:v>Historic-town leisure; outdoor and event trips</x:v>
      </x:c>
      <x:c r="E58" s="105" t="str">
        <x:v>Couples / weekend guests</x:v>
      </x:c>
      <x:c r="F58" s="105" t="str">
        <x:v>Both</x:v>
      </x:c>
      <x:c r="G58" s="105" t="str">
        <x:v>Balanced</x:v>
      </x:c>
      <x:c r="H58" s="105" t="str">
        <x:v>Explore small, differentiated stays with realistic service-labor availability</x:v>
      </x:c>
      <x:c r="I58" s="105" t="str">
        <x:v>Steep sites; historic repairs; summer/weekend concentration</x:v>
      </x:c>
      <x:c r="J58" s="105" t="str">
        <x:v>Check guest-origin drive times, airport access and actual arrival logistics</x:v>
      </x:c>
    </x:row>
    <x:row r="59" ht="72" customHeight="1">
      <x:c r="A59" s="105" t="n">
        <x:v>53</x:v>
      </x:c>
      <x:c r="B59" s="105" t="str">
        <x:v>Fredericksburg</x:v>
      </x:c>
      <x:c r="C59" s="105" t="str">
        <x:v>High</x:v>
      </x:c>
      <x:c r="D59" s="105" t="str">
        <x:v>Wine-country weekends; heritage and event travel</x:v>
      </x:c>
      <x:c r="E59" s="105" t="str">
        <x:v>Couples / groups</x:v>
      </x:c>
      <x:c r="F59" s="105" t="str">
        <x:v>Ownership</x:v>
      </x:c>
      <x:c r="G59" s="105" t="str">
        <x:v>Balanced</x:v>
      </x:c>
      <x:c r="H59" s="105" t="str">
        <x:v>Test ordinary weekdays and off-peak months, not only event weekends</x:v>
      </x:c>
      <x:c r="I59" s="105" t="str">
        <x:v>Weekend dependence; growing competition; septic/water</x:v>
      </x:c>
      <x:c r="J59" s="105" t="str">
        <x:v>Check guest-origin drive times, airport access and actual arrival logistics</x:v>
      </x:c>
    </x:row>
    <x:row r="60" ht="72" customHeight="1">
      <x:c r="A60" s="105" t="n">
        <x:v>54</x:v>
      </x:c>
      <x:c r="B60" s="105" t="str">
        <x:v>New Braunfels</x:v>
      </x:c>
      <x:c r="C60" s="105" t="str">
        <x:v>High</x:v>
      </x:c>
      <x:c r="D60" s="105" t="str">
        <x:v>River recreation; family and heritage visits</x:v>
      </x:c>
      <x:c r="E60" s="105" t="str">
        <x:v>Families / groups</x:v>
      </x:c>
      <x:c r="F60" s="105" t="str">
        <x:v>Ownership</x:v>
      </x:c>
      <x:c r="G60" s="105" t="str">
        <x:v>Balanced</x:v>
      </x:c>
      <x:c r="H60" s="105" t="str">
        <x:v>Compare river-oriented units with a separate off-season revenue case</x:v>
      </x:c>
      <x:c r="I60" s="105" t="str">
        <x:v>Flood exposure; river-season dependence; geographic shifts</x:v>
      </x:c>
      <x:c r="J60" s="105" t="str">
        <x:v>Check guest-origin drive times, airport access and actual arrival logistics</x:v>
      </x:c>
    </x:row>
    <x:row r="61" ht="72" customHeight="1">
      <x:c r="A61" s="105" t="n">
        <x:v>55</x:v>
      </x:c>
      <x:c r="B61" s="105" t="str">
        <x:v>Galveston</x:v>
      </x:c>
      <x:c r="C61" s="105" t="str">
        <x:v>High</x:v>
      </x:c>
      <x:c r="D61" s="105" t="str">
        <x:v>Beach; cruise-related stays; historic visits</x:v>
      </x:c>
      <x:c r="E61" s="105" t="str">
        <x:v>Families / groups</x:v>
      </x:c>
      <x:c r="F61" s="105" t="str">
        <x:v>Both</x:v>
      </x:c>
      <x:c r="G61" s="105" t="str">
        <x:v>Balanced</x:v>
      </x:c>
      <x:c r="H61" s="105" t="str">
        <x:v>Underwrite a combined leisure niche with quoted insurance and deductibles</x:v>
      </x:c>
      <x:c r="I61" s="105" t="str">
        <x:v>Wind/flood premiums; evacuation downtime; older homes</x:v>
      </x:c>
      <x:c r="J61" s="105" t="str">
        <x:v>Check guest-origin drive times, airport access and actual arrival logistics</x:v>
      </x:c>
    </x:row>
    <x:row r="62" ht="72" customHeight="1">
      <x:c r="A62" s="105" t="n">
        <x:v>56</x:v>
      </x:c>
      <x:c r="B62" s="105" t="str">
        <x:v>Port Aransas</x:v>
      </x:c>
      <x:c r="C62" s="105" t="str">
        <x:v>High</x:v>
      </x:c>
      <x:c r="D62" s="105" t="str">
        <x:v>Beach and fishing vacations</x:v>
      </x:c>
      <x:c r="E62" s="105" t="str">
        <x:v>Families / groups</x:v>
      </x:c>
      <x:c r="F62" s="105" t="str">
        <x:v>Ownership</x:v>
      </x:c>
      <x:c r="G62" s="105" t="str">
        <x:v>Premium revenue</x:v>
      </x:c>
      <x:c r="H62" s="105" t="str">
        <x:v>Compare premium beach revenue with total capital and storm reserves</x:v>
      </x:c>
      <x:c r="I62" s="105" t="str">
        <x:v>Coastal insurance; storm damage; large-home repair costs</x:v>
      </x:c>
      <x:c r="J62" s="105" t="str">
        <x:v>Check guest-origin drive times, airport access and actual arrival logistics</x:v>
      </x:c>
    </x:row>
    <x:row r="63" ht="72" customHeight="1">
      <x:c r="A63" s="105" t="n">
        <x:v>57</x:v>
      </x:c>
      <x:c r="B63" s="105" t="str">
        <x:v>Waco</x:v>
      </x:c>
      <x:c r="C63" s="105" t="str">
        <x:v>Moderate</x:v>
      </x:c>
      <x:c r="D63" s="105" t="str">
        <x:v>University; visitor attractions; event weekends</x:v>
      </x:c>
      <x:c r="E63" s="105" t="str">
        <x:v>Families / visiting relatives</x:v>
      </x:c>
      <x:c r="F63" s="105" t="str">
        <x:v>Both</x:v>
      </x:c>
      <x:c r="G63" s="105" t="str">
        <x:v>Cash flow research</x:v>
      </x:c>
      <x:c r="H63" s="105" t="str">
        <x:v>Validate regular-week occupancy independently of peak weekends</x:v>
      </x:c>
      <x:c r="I63" s="105" t="str">
        <x:v>Event concentration; tourism shifts; neighborhood comp spread</x:v>
      </x:c>
      <x:c r="J63" s="105" t="str">
        <x:v>Check guest-origin drive times, airport access and actual arrival logistics</x:v>
      </x:c>
    </x:row>
    <x:row r="64" ht="72" customHeight="1">
      <x:c r="A64" s="105" t="n">
        <x:v>58</x:v>
      </x:c>
      <x:c r="B64" s="105" t="str">
        <x:v>San Antonio</x:v>
      </x:c>
      <x:c r="C64" s="105" t="str">
        <x:v>Moderate</x:v>
      </x:c>
      <x:c r="D64" s="105" t="str">
        <x:v>Tourism; military visits; conventions</x:v>
      </x:c>
      <x:c r="E64" s="105" t="str">
        <x:v>Families / business visitors</x:v>
      </x:c>
      <x:c r="F64" s="105" t="str">
        <x:v>Both</x:v>
      </x:c>
      <x:c r="G64" s="105" t="str">
        <x:v>Cash flow research</x:v>
      </x:c>
      <x:c r="H64" s="105" t="str">
        <x:v>Explore a diversified visitor mix with a verified license path</x:v>
      </x:c>
      <x:c r="I64" s="105" t="str">
        <x:v>Neighborhood quality; hotel competition; tax and insurance</x:v>
      </x:c>
      <x:c r="J64" s="105" t="str">
        <x:v>Check guest-origin drive times, airport access and actual arrival logistics</x:v>
      </x:c>
    </x:row>
    <x:row r="65" ht="72" customHeight="1">
      <x:c r="A65" s="105" t="n">
        <x:v>59</x:v>
      </x:c>
      <x:c r="B65" s="105" t="str">
        <x:v>Houston</x:v>
      </x:c>
      <x:c r="C65" s="105" t="str">
        <x:v>Moderate</x:v>
      </x:c>
      <x:c r="D65" s="105" t="str">
        <x:v>Medical; business; visiting-family travel</x:v>
      </x:c>
      <x:c r="E65" s="105" t="str">
        <x:v>Business / medical visitors</x:v>
      </x:c>
      <x:c r="F65" s="105" t="str">
        <x:v>Both</x:v>
      </x:c>
      <x:c r="G65" s="105" t="str">
        <x:v>Cash flow research</x:v>
      </x:c>
      <x:c r="H65" s="105" t="str">
        <x:v>Research a tightly defined medical/business submarket rather than city averages</x:v>
      </x:c>
      <x:c r="I65" s="105" t="str">
        <x:v>Flood exposure; submarket spread; hotel competition</x:v>
      </x:c>
      <x:c r="J65" s="105" t="str">
        <x:v>Check guest-origin drive times, airport access and actual arrival logistics</x:v>
      </x:c>
    </x:row>
    <x:row r="66" ht="72" customHeight="1">
      <x:c r="A66" s="105" t="n">
        <x:v>60</x:v>
      </x:c>
      <x:c r="B66" s="105" t="str">
        <x:v>Abilene</x:v>
      </x:c>
      <x:c r="C66" s="105" t="str">
        <x:v>Moderate</x:v>
      </x:c>
      <x:c r="D66" s="105" t="str">
        <x:v>University; military and project-related visits</x:v>
      </x:c>
      <x:c r="E66" s="105" t="str">
        <x:v>Visiting families / project workers</x:v>
      </x:c>
      <x:c r="F66" s="105" t="str">
        <x:v>Both</x:v>
      </x:c>
      <x:c r="G66" s="105" t="str">
        <x:v>Emerging research</x:v>
      </x:c>
      <x:c r="H66" s="105" t="str">
        <x:v>Test repeatable demand separately from a one-off project surge</x:v>
      </x:c>
      <x:c r="I66" s="105" t="str">
        <x:v>Large reported growth may be temporary; small comp niches</x:v>
      </x:c>
      <x:c r="J66" s="105" t="str">
        <x:v>Check guest-origin drive times, airport access and actual arrival logistics</x:v>
      </x:c>
    </x:row>
    <x:row r="67" ht="72" customHeight="1">
      <x:c r="A67" s="105" t="n">
        <x:v>61</x:v>
      </x:c>
      <x:c r="B67" s="105" t="str">
        <x:v>Port Arthur</x:v>
      </x:c>
      <x:c r="C67" s="105" t="str">
        <x:v>Moderate</x:v>
      </x:c>
      <x:c r="D67" s="105" t="str">
        <x:v>Industrial/project-related lodging; visiting workers</x:v>
      </x:c>
      <x:c r="E67" s="105" t="str">
        <x:v>Project workers / business guests</x:v>
      </x:c>
      <x:c r="F67" s="105" t="str">
        <x:v>Both</x:v>
      </x:c>
      <x:c r="G67" s="105" t="str">
        <x:v>Emerging research</x:v>
      </x:c>
      <x:c r="H67" s="105" t="str">
        <x:v>Research contract duration and stay lengths before treating growth as durable</x:v>
      </x:c>
      <x:c r="I67" s="105" t="str">
        <x:v>Project-cycle exposure; storm/flood; extreme reported supply growth</x:v>
      </x:c>
      <x:c r="J67" s="105" t="str">
        <x:v>Check guest-origin drive times, airport access and actual arrival logistics</x:v>
      </x:c>
    </x:row>
    <x:row r="68" ht="72" customHeight="1">
      <x:c r="A68" s="105" t="n">
        <x:v>62</x:v>
      </x:c>
      <x:c r="B68" s="105" t="str">
        <x:v>Oklahoma City</x:v>
      </x:c>
      <x:c r="C68" s="105" t="str">
        <x:v>Moderate</x:v>
      </x:c>
      <x:c r="D68" s="105" t="str">
        <x:v>Business; events; visiting-family travel</x:v>
      </x:c>
      <x:c r="E68" s="105" t="str">
        <x:v>Business / family visitors</x:v>
      </x:c>
      <x:c r="F68" s="105" t="str">
        <x:v>Both</x:v>
      </x:c>
      <x:c r="G68" s="105" t="str">
        <x:v>Cash flow research</x:v>
      </x:c>
      <x:c r="H68" s="105" t="str">
        <x:v>Compare modest-entry-cost property concepts against conventional rent alternatives</x:v>
      </x:c>
      <x:c r="I68" s="105" t="str">
        <x:v>Undated STR snapshot; submarket spread; storm exposure</x:v>
      </x:c>
      <x:c r="J68" s="105" t="str">
        <x:v>Check guest-origin drive times, airport access and actual arrival logistics</x:v>
      </x:c>
    </x:row>
    <x:row r="69" ht="72" customHeight="1">
      <x:c r="A69" s="105" t="n">
        <x:v>63</x:v>
      </x:c>
      <x:c r="B69" s="105" t="str">
        <x:v>Tulsa</x:v>
      </x:c>
      <x:c r="C69" s="105" t="str">
        <x:v>Moderate</x:v>
      </x:c>
      <x:c r="D69" s="105" t="str">
        <x:v>Business; events; family visits</x:v>
      </x:c>
      <x:c r="E69" s="105" t="str">
        <x:v>Business / visiting relatives</x:v>
      </x:c>
      <x:c r="F69" s="105" t="str">
        <x:v>Both</x:v>
      </x:c>
      <x:c r="G69" s="105" t="str">
        <x:v>Cash flow research</x:v>
      </x:c>
      <x:c r="H69" s="105" t="str">
        <x:v>Compare a specific visitor niche with realistic full-management expenses</x:v>
      </x:c>
      <x:c r="I69" s="105" t="str">
        <x:v>Neighborhood differences; hotel competition; severe storms</x:v>
      </x:c>
      <x:c r="J69" s="105" t="str">
        <x:v>Check guest-origin drive times, airport access and actual arrival logistics</x:v>
      </x:c>
    </x:row>
    <x:row r="70" ht="72" customHeight="1">
      <x:c r="A70" s="105" t="n">
        <x:v>64</x:v>
      </x:c>
      <x:c r="B70" s="105" t="str">
        <x:v>Bentonville</x:v>
      </x:c>
      <x:c r="C70" s="105" t="str">
        <x:v>Moderate</x:v>
      </x:c>
      <x:c r="D70" s="105" t="str">
        <x:v>Business visits; cycling and leisure weekends</x:v>
      </x:c>
      <x:c r="E70" s="105" t="str">
        <x:v>Business / outdoor visitors</x:v>
      </x:c>
      <x:c r="F70" s="105" t="str">
        <x:v>Both</x:v>
      </x:c>
      <x:c r="G70" s="105" t="str">
        <x:v>Balanced</x:v>
      </x:c>
      <x:c r="H70" s="105" t="str">
        <x:v>Test a business-plus-outdoor niche with location-matched comps</x:v>
      </x:c>
      <x:c r="I70" s="105" t="str">
        <x:v>Undated metrics; localized competition; weekday/weekend mix</x:v>
      </x:c>
      <x:c r="J70" s="105" t="str">
        <x:v>Check guest-origin drive times, airport access and actual arrival logistics</x:v>
      </x:c>
    </x:row>
    <x:row r="71" ht="72" customHeight="1">
      <x:c r="A71" s="105" t="n">
        <x:v>65</x:v>
      </x:c>
      <x:c r="B71" s="105" t="str">
        <x:v>Fayetteville</x:v>
      </x:c>
      <x:c r="C71" s="105" t="str">
        <x:v>High</x:v>
      </x:c>
      <x:c r="D71" s="105" t="str">
        <x:v>University visits; sports; regional travel</x:v>
      </x:c>
      <x:c r="E71" s="105" t="str">
        <x:v>Visiting families / event guests</x:v>
      </x:c>
      <x:c r="F71" s="105" t="str">
        <x:v>Ownership</x:v>
      </x:c>
      <x:c r="G71" s="105" t="str">
        <x:v>Restricted-path research</x:v>
      </x:c>
      <x:c r="H71" s="105" t="str">
        <x:v>Research only after a credible license path is established</x:v>
      </x:c>
      <x:c r="I71" s="105" t="str">
        <x:v>Type 2 license cap reached; event concentration</x:v>
      </x:c>
      <x:c r="J71" s="105" t="str">
        <x:v>Check guest-origin drive times, airport access and actual arrival logistics</x:v>
      </x:c>
    </x:row>
    <x:row r="72" ht="72" customHeight="1">
      <x:c r="A72" s="105" t="n">
        <x:v>66</x:v>
      </x:c>
      <x:c r="B72" s="105" t="str">
        <x:v>Huntsville</x:v>
      </x:c>
      <x:c r="C72" s="105" t="str">
        <x:v>Moderate</x:v>
      </x:c>
      <x:c r="D72" s="105" t="str">
        <x:v>Aerospace/defense-related visits; business travel</x:v>
      </x:c>
      <x:c r="E72" s="105" t="str">
        <x:v>Business / visiting relatives</x:v>
      </x:c>
      <x:c r="F72" s="105" t="str">
        <x:v>Both</x:v>
      </x:c>
      <x:c r="G72" s="105" t="str">
        <x:v>Cash flow research</x:v>
      </x:c>
      <x:c r="H72" s="105" t="str">
        <x:v>Test business demand with evidence of legal STR eligibility and weekday bookings</x:v>
      </x:c>
      <x:c r="I72" s="105" t="str">
        <x:v>Corporate lodging competition; low ADR; submarket spread</x:v>
      </x:c>
      <x:c r="J72" s="105" t="str">
        <x:v>Check guest-origin drive times, airport access and actual arrival logistics</x:v>
      </x:c>
    </x:row>
    <x:row r="73" ht="72" customHeight="1">
      <x:c r="A73" s="105" t="n">
        <x:v>67</x:v>
      </x:c>
      <x:c r="B73" s="105" t="str">
        <x:v>Birmingham</x:v>
      </x:c>
      <x:c r="C73" s="105" t="str">
        <x:v>Moderate</x:v>
      </x:c>
      <x:c r="D73" s="105" t="str">
        <x:v>Medical; business; family and event visits</x:v>
      </x:c>
      <x:c r="E73" s="105" t="str">
        <x:v>Medical / business visitors</x:v>
      </x:c>
      <x:c r="F73" s="105" t="str">
        <x:v>Both</x:v>
      </x:c>
      <x:c r="G73" s="105" t="str">
        <x:v>Cash flow research</x:v>
      </x:c>
      <x:c r="H73" s="105" t="str">
        <x:v>Compare small-property full-cost economics with a long-term rental fallback</x:v>
      </x:c>
      <x:c r="I73" s="105" t="str">
        <x:v>Street-level variability; older-home repairs; hotel competition</x:v>
      </x:c>
      <x:c r="J73" s="105" t="str">
        <x:v>Check guest-origin drive times, airport access and actual arrival logistics</x:v>
      </x:c>
    </x:row>
    <x:row r="74" ht="72" customHeight="1">
      <x:c r="A74" s="105" t="n">
        <x:v>68</x:v>
      </x:c>
      <x:c r="B74" s="105" t="str">
        <x:v>Montgomery</x:v>
      </x:c>
      <x:c r="C74" s="105" t="str">
        <x:v>Moderate</x:v>
      </x:c>
      <x:c r="D74" s="105" t="str">
        <x:v>Government; military; heritage visits</x:v>
      </x:c>
      <x:c r="E74" s="105" t="str">
        <x:v>Business / visiting families</x:v>
      </x:c>
      <x:c r="F74" s="105" t="str">
        <x:v>Both</x:v>
      </x:c>
      <x:c r="G74" s="105" t="str">
        <x:v>Cash flow research</x:v>
      </x:c>
      <x:c r="H74" s="105" t="str">
        <x:v>Investigate a focused guest niche rather than assuming low prices mean high yield</x:v>
      </x:c>
      <x:c r="I74" s="105" t="str">
        <x:v>Thin comp sets; neighborhood spread; limited ADR</x:v>
      </x:c>
      <x:c r="J74" s="105" t="str">
        <x:v>Check guest-origin drive times, airport access and actual arrival logistics</x:v>
      </x:c>
    </x:row>
    <x:row r="75" ht="72" customHeight="1">
      <x:c r="A75" s="105" t="n">
        <x:v>69</x:v>
      </x:c>
      <x:c r="B75" s="105" t="str">
        <x:v>Louisville</x:v>
      </x:c>
      <x:c r="C75" s="105" t="str">
        <x:v>Moderate</x:v>
      </x:c>
      <x:c r="D75" s="105" t="str">
        <x:v>Bourbon-oriented tourism; business; events</x:v>
      </x:c>
      <x:c r="E75" s="105" t="str">
        <x:v>Couples / event and business guests</x:v>
      </x:c>
      <x:c r="F75" s="105" t="str">
        <x:v>Both</x:v>
      </x:c>
      <x:c r="G75" s="105" t="str">
        <x:v>Balanced</x:v>
      </x:c>
      <x:c r="H75" s="105" t="str">
        <x:v>Separate ordinary-month demand from major-event rates</x:v>
      </x:c>
      <x:c r="I75" s="105" t="str">
        <x:v>Derby peak distortion; zoning/CUP; older buildings</x:v>
      </x:c>
      <x:c r="J75" s="105" t="str">
        <x:v>Check guest-origin drive times, airport access and actual arrival logistics</x:v>
      </x:c>
    </x:row>
    <x:row r="76" ht="72" customHeight="1">
      <x:c r="A76" s="105" t="n">
        <x:v>70</x:v>
      </x:c>
      <x:c r="B76" s="105" t="str">
        <x:v>Lexington</x:v>
      </x:c>
      <x:c r="C76" s="105" t="str">
        <x:v>High</x:v>
      </x:c>
      <x:c r="D76" s="105" t="str">
        <x:v>Equestrian; university; bourbon-country visits</x:v>
      </x:c>
      <x:c r="E76" s="105" t="str">
        <x:v>Couples / visiting families</x:v>
      </x:c>
      <x:c r="F76" s="105" t="str">
        <x:v>Both</x:v>
      </x:c>
      <x:c r="G76" s="105" t="str">
        <x:v>Balanced</x:v>
      </x:c>
      <x:c r="H76" s="105" t="str">
        <x:v>Test equestrian and university niches without annualizing peak weeks</x:v>
      </x:c>
      <x:c r="I76" s="105" t="str">
        <x:v>Race/event concentration; legal permit pathway; seasonal ADR</x:v>
      </x:c>
      <x:c r="J76" s="105" t="str">
        <x:v>Check guest-origin drive times, airport access and actual arrival logistics</x:v>
      </x:c>
    </x:row>
    <x:row r="77" ht="72" customHeight="1">
      <x:c r="A77" s="105" t="n">
        <x:v>71</x:v>
      </x:c>
      <x:c r="B77" s="105" t="str">
        <x:v>Indianapolis</x:v>
      </x:c>
      <x:c r="C77" s="105" t="str">
        <x:v>Moderate</x:v>
      </x:c>
      <x:c r="D77" s="105" t="str">
        <x:v>Conventions; sports; business travel</x:v>
      </x:c>
      <x:c r="E77" s="105" t="str">
        <x:v>Business / event groups</x:v>
      </x:c>
      <x:c r="F77" s="105" t="str">
        <x:v>Both</x:v>
      </x:c>
      <x:c r="G77" s="105" t="str">
        <x:v>Cash flow research</x:v>
      </x:c>
      <x:c r="H77" s="105" t="str">
        <x:v>Compare weekday and ordinary-weekend performance with event nights excluded</x:v>
      </x:c>
      <x:c r="I77" s="105" t="str">
        <x:v>Major-event distortion; neighborhood variability</x:v>
      </x:c>
      <x:c r="J77" s="105" t="str">
        <x:v>Check guest-origin drive times, airport access and actual arrival logistics</x:v>
      </x:c>
    </x:row>
    <x:row r="78" ht="72" customHeight="1">
      <x:c r="A78" s="105" t="n">
        <x:v>72</x:v>
      </x:c>
      <x:c r="B78" s="105" t="str">
        <x:v>Columbus</x:v>
      </x:c>
      <x:c r="C78" s="105" t="str">
        <x:v>Moderate</x:v>
      </x:c>
      <x:c r="D78" s="105" t="str">
        <x:v>University; business; medical and event visits</x:v>
      </x:c>
      <x:c r="E78" s="105" t="str">
        <x:v>Business / visiting families</x:v>
      </x:c>
      <x:c r="F78" s="105" t="str">
        <x:v>Both</x:v>
      </x:c>
      <x:c r="G78" s="105" t="str">
        <x:v>Cash flow research</x:v>
      </x:c>
      <x:c r="H78" s="105" t="str">
        <x:v>Research a diversified urban niche with matched small-home comps</x:v>
      </x:c>
      <x:c r="I78" s="105" t="str">
        <x:v>Neighborhood spread; hotel competition; permit compliance</x:v>
      </x:c>
      <x:c r="J78" s="105" t="str">
        <x:v>Check guest-origin drive times, airport access and actual arrival logistics</x:v>
      </x:c>
    </x:row>
    <x:row r="79" ht="72" customHeight="1">
      <x:c r="A79" s="105" t="n">
        <x:v>73</x:v>
      </x:c>
      <x:c r="B79" s="105" t="str">
        <x:v>Cleveland</x:v>
      </x:c>
      <x:c r="C79" s="105" t="str">
        <x:v>Moderate</x:v>
      </x:c>
      <x:c r="D79" s="105" t="str">
        <x:v>Medical; sports; visiting-family travel</x:v>
      </x:c>
      <x:c r="E79" s="105" t="str">
        <x:v>Medical / event visitors</x:v>
      </x:c>
      <x:c r="F79" s="105" t="str">
        <x:v>Both</x:v>
      </x:c>
      <x:c r="G79" s="105" t="str">
        <x:v>Cash flow research</x:v>
      </x:c>
      <x:c r="H79" s="105" t="str">
        <x:v>Test hospital/event proximity against a conservative ordinary-week base</x:v>
      </x:c>
      <x:c r="I79" s="105" t="str">
        <x:v>Older-home capital repairs; winter vacancy; submarket quality</x:v>
      </x:c>
      <x:c r="J79" s="105" t="str">
        <x:v>Check guest-origin drive times, airport access and actual arrival logistics</x:v>
      </x:c>
    </x:row>
    <x:row r="80" ht="72" customHeight="1">
      <x:c r="A80" s="105" t="n">
        <x:v>74</x:v>
      </x:c>
      <x:c r="B80" s="105" t="str">
        <x:v>Akron</x:v>
      </x:c>
      <x:c r="C80" s="105" t="str">
        <x:v>Moderate</x:v>
      </x:c>
      <x:c r="D80" s="105" t="str">
        <x:v>Business; medical; university-related visits</x:v>
      </x:c>
      <x:c r="E80" s="105" t="str">
        <x:v>Business / family visitors</x:v>
      </x:c>
      <x:c r="F80" s="105" t="str">
        <x:v>Both</x:v>
      </x:c>
      <x:c r="G80" s="105" t="str">
        <x:v>Cash flow research</x:v>
      </x:c>
      <x:c r="H80" s="105" t="str">
        <x:v>Compare low-capital-entry concepts with achievable net revenue, not gross yield</x:v>
      </x:c>
      <x:c r="I80" s="105" t="str">
        <x:v>Undated data; low ADR; older housing and maintenance</x:v>
      </x:c>
      <x:c r="J80" s="105" t="str">
        <x:v>Check guest-origin drive times, airport access and actual arrival logistics</x:v>
      </x:c>
    </x:row>
    <x:row r="81" ht="72" customHeight="1">
      <x:c r="A81" s="105" t="n">
        <x:v>75</x:v>
      </x:c>
      <x:c r="B81" s="105" t="str">
        <x:v>Pittsburgh</x:v>
      </x:c>
      <x:c r="C81" s="105" t="str">
        <x:v>Moderate</x:v>
      </x:c>
      <x:c r="D81" s="105" t="str">
        <x:v>University; medical; business and sports visits</x:v>
      </x:c>
      <x:c r="E81" s="105" t="str">
        <x:v>Visiting families / business guests</x:v>
      </x:c>
      <x:c r="F81" s="105" t="str">
        <x:v>Both</x:v>
      </x:c>
      <x:c r="G81" s="105" t="str">
        <x:v>Balanced</x:v>
      </x:c>
      <x:c r="H81" s="105" t="str">
        <x:v>Research neighborhood-specific visitor demand and long-term-rental fallback</x:v>
      </x:c>
      <x:c r="I81" s="105" t="str">
        <x:v>Parking; hills; old-home repairs; submarket variability</x:v>
      </x:c>
      <x:c r="J81" s="105" t="str">
        <x:v>Check guest-origin drive times, airport access and actual arrival logistics</x:v>
      </x:c>
    </x:row>
    <x:row r="82" ht="72" customHeight="1">
      <x:c r="A82" s="105" t="n">
        <x:v>76</x:v>
      </x:c>
      <x:c r="B82" s="105" t="str">
        <x:v>Chattanooga</x:v>
      </x:c>
      <x:c r="C82" s="105" t="str">
        <x:v>Moderate</x:v>
      </x:c>
      <x:c r="D82" s="105" t="str">
        <x:v>Outdoor recreation; tourism; business visits</x:v>
      </x:c>
      <x:c r="E82" s="105" t="str">
        <x:v>Couples / families</x:v>
      </x:c>
      <x:c r="F82" s="105" t="str">
        <x:v>Ownership</x:v>
      </x:c>
      <x:c r="G82" s="105" t="str">
        <x:v>Restricted-path research</x:v>
      </x:c>
      <x:c r="H82" s="105" t="str">
        <x:v>Investigate only commercially eligible absentee inventory or a true homestay</x:v>
      </x:c>
      <x:c r="I82" s="105" t="str">
        <x:v>Absentee zoning restriction; flood; neighborhood variation</x:v>
      </x:c>
      <x:c r="J82" s="105" t="str">
        <x:v>Check guest-origin drive times, airport access and actual arrival logistics</x:v>
      </x:c>
    </x:row>
    <x:row r="83" ht="72" customHeight="1">
      <x:c r="A83" s="105" t="n">
        <x:v>77</x:v>
      </x:c>
      <x:c r="B83" s="105" t="str">
        <x:v>Knoxville</x:v>
      </x:c>
      <x:c r="C83" s="105" t="str">
        <x:v>High</x:v>
      </x:c>
      <x:c r="D83" s="105" t="str">
        <x:v>University and sports; business; mountain gateway</x:v>
      </x:c>
      <x:c r="E83" s="105" t="str">
        <x:v>Visiting families / event guests</x:v>
      </x:c>
      <x:c r="F83" s="105" t="str">
        <x:v>Both</x:v>
      </x:c>
      <x:c r="G83" s="105" t="str">
        <x:v>Balanced</x:v>
      </x:c>
      <x:c r="H83" s="105" t="str">
        <x:v>Separate university peaks from ordinary visitor demand</x:v>
      </x:c>
      <x:c r="I83" s="105" t="str">
        <x:v>Game-weekend distortion; new supply; permitted-use limits</x:v>
      </x:c>
      <x:c r="J83" s="105" t="str">
        <x:v>Check guest-origin drive times, airport access and actual arrival logistics</x:v>
      </x:c>
    </x:row>
    <x:row r="84" ht="72" customHeight="1">
      <x:c r="A84" s="105" t="n">
        <x:v>78</x:v>
      </x:c>
      <x:c r="B84" s="105" t="str">
        <x:v>Nashville</x:v>
      </x:c>
      <x:c r="C84" s="105" t="str">
        <x:v>Moderate</x:v>
      </x:c>
      <x:c r="D84" s="105" t="str">
        <x:v>Music; conventions; group leisure</x:v>
      </x:c>
      <x:c r="E84" s="105" t="str">
        <x:v>Groups / business visitors</x:v>
      </x:c>
      <x:c r="F84" s="105" t="str">
        <x:v>Both</x:v>
      </x:c>
      <x:c r="G84" s="105" t="str">
        <x:v>Premium revenue</x:v>
      </x:c>
      <x:c r="H84" s="105" t="str">
        <x:v>Evaluate a legally permitted property with a conservative non-event case</x:v>
      </x:c>
      <x:c r="I84" s="105" t="str">
        <x:v>Permit/zoning limits; noise; high competition</x:v>
      </x:c>
      <x:c r="J84" s="105" t="str">
        <x:v>Check guest-origin drive times, airport access and actual arrival logistics</x:v>
      </x:c>
    </x:row>
    <x:row r="85" ht="72" customHeight="1">
      <x:c r="A85" s="105" t="n">
        <x:v>79</x:v>
      </x:c>
      <x:c r="B85" s="105" t="str">
        <x:v>Savannah</x:v>
      </x:c>
      <x:c r="C85" s="105" t="str">
        <x:v>Moderate</x:v>
      </x:c>
      <x:c r="D85" s="105" t="str">
        <x:v>Historic tourism; weekend and event trips</x:v>
      </x:c>
      <x:c r="E85" s="105" t="str">
        <x:v>Couples / groups</x:v>
      </x:c>
      <x:c r="F85" s="105" t="str">
        <x:v>Ownership</x:v>
      </x:c>
      <x:c r="G85" s="105" t="str">
        <x:v>Restricted-path research</x:v>
      </x:c>
      <x:c r="H85" s="105" t="str">
        <x:v>Research a verified certificate path before paying a tourism-location premium</x:v>
      </x:c>
      <x:c r="I85" s="105" t="str">
        <x:v>Overlay and ward caps; flood; historic repairs</x:v>
      </x:c>
      <x:c r="J85" s="105" t="str">
        <x:v>Check guest-origin drive times, airport access and actual arrival logistics</x:v>
      </x:c>
    </x:row>
    <x:row r="86" ht="72" customHeight="1">
      <x:c r="A86" s="105" t="n">
        <x:v>80</x:v>
      </x:c>
      <x:c r="B86" s="105" t="str">
        <x:v>Athens</x:v>
      </x:c>
      <x:c r="C86" s="105" t="str">
        <x:v>High</x:v>
      </x:c>
      <x:c r="D86" s="105" t="str">
        <x:v>University; sports; music-oriented weekends</x:v>
      </x:c>
      <x:c r="E86" s="105" t="str">
        <x:v>Visiting families / event guests</x:v>
      </x:c>
      <x:c r="F86" s="105" t="str">
        <x:v>Ownership</x:v>
      </x:c>
      <x:c r="G86" s="105" t="str">
        <x:v>Restricted-path research</x:v>
      </x:c>
      <x:c r="H86" s="105" t="str">
        <x:v>Research conforming inventory rather than buying an assumed grandfathered use</x:v>
      </x:c>
      <x:c r="I86" s="105" t="str">
        <x:v>Zoning; evolving nonconforming rules; event dependence</x:v>
      </x:c>
      <x:c r="J86" s="105" t="str">
        <x:v>Check guest-origin drive times, airport access and actual arrival logistics</x:v>
      </x:c>
    </x:row>
    <x:row r="87" ht="72" customHeight="1">
      <x:c r="A87" s="105" t="n">
        <x:v>81</x:v>
      </x:c>
      <x:c r="B87" s="105" t="str">
        <x:v>Flagstaff</x:v>
      </x:c>
      <x:c r="C87" s="105" t="str">
        <x:v>High</x:v>
      </x:c>
      <x:c r="D87" s="105" t="str">
        <x:v>Mountain recreation; university; regional park trips</x:v>
      </x:c>
      <x:c r="E87" s="105" t="str">
        <x:v>Families / outdoor visitors</x:v>
      </x:c>
      <x:c r="F87" s="105" t="str">
        <x:v>Ownership</x:v>
      </x:c>
      <x:c r="G87" s="105" t="str">
        <x:v>Balanced</x:v>
      </x:c>
      <x:c r="H87" s="105" t="str">
        <x:v>Test two-season outdoor and university demand against winter operating costs</x:v>
      </x:c>
      <x:c r="I87" s="105" t="str">
        <x:v>Winter roads; wildfire; insurance; cabin competition</x:v>
      </x:c>
      <x:c r="J87" s="105" t="str">
        <x:v>Check guest-origin drive times, airport access and actual arrival logistics</x:v>
      </x:c>
    </x:row>
    <x:row r="88" ht="72" customHeight="1">
      <x:c r="A88" s="105" t="n">
        <x:v>82</x:v>
      </x:c>
      <x:c r="B88" s="105" t="str">
        <x:v>Sedona</x:v>
      </x:c>
      <x:c r="C88" s="105" t="str">
        <x:v>High</x:v>
      </x:c>
      <x:c r="D88" s="105" t="str">
        <x:v>Outdoor and wellness-oriented leisure</x:v>
      </x:c>
      <x:c r="E88" s="105" t="str">
        <x:v>Couples / groups</x:v>
      </x:c>
      <x:c r="F88" s="105" t="str">
        <x:v>Ownership</x:v>
      </x:c>
      <x:c r="G88" s="105" t="str">
        <x:v>Premium revenue</x:v>
      </x:c>
      <x:c r="H88" s="105" t="str">
        <x:v>Compare design/view premiums with actual matched-property bookings</x:v>
      </x:c>
      <x:c r="I88" s="105" t="str">
        <x:v>Premium acquisition cost; summer heat; community friction</x:v>
      </x:c>
      <x:c r="J88" s="105" t="str">
        <x:v>Check guest-origin drive times, airport access and actual arrival logistics</x:v>
      </x:c>
    </x:row>
    <x:row r="89" ht="72" customHeight="1">
      <x:c r="A89" s="105" t="n">
        <x:v>83</x:v>
      </x:c>
      <x:c r="B89" s="105" t="str">
        <x:v>Scottsdale</x:v>
      </x:c>
      <x:c r="C89" s="105" t="str">
        <x:v>High</x:v>
      </x:c>
      <x:c r="D89" s="105" t="str">
        <x:v>Winter leisure; golf; events and business</x:v>
      </x:c>
      <x:c r="E89" s="105" t="str">
        <x:v>Groups / golfers</x:v>
      </x:c>
      <x:c r="F89" s="105" t="str">
        <x:v>Both</x:v>
      </x:c>
      <x:c r="G89" s="105" t="str">
        <x:v>Premium revenue</x:v>
      </x:c>
      <x:c r="H89" s="105" t="str">
        <x:v>Stress-test summer cash burn and room mix before accepting premium ADR</x:v>
      </x:c>
      <x:c r="I89" s="105" t="str">
        <x:v>Summer weakness; pool costs; event restrictions; source disagreement</x:v>
      </x:c>
      <x:c r="J89" s="105" t="str">
        <x:v>Check guest-origin drive times, airport access and actual arrival logistics</x:v>
      </x:c>
    </x:row>
    <x:row r="90" ht="72" customHeight="1">
      <x:c r="A90" s="105" t="n">
        <x:v>84</x:v>
      </x:c>
      <x:c r="B90" s="105" t="str">
        <x:v>Tucson</x:v>
      </x:c>
      <x:c r="C90" s="105" t="str">
        <x:v>High</x:v>
      </x:c>
      <x:c r="D90" s="105" t="str">
        <x:v>Winter leisure; university; regional business</x:v>
      </x:c>
      <x:c r="E90" s="105" t="str">
        <x:v>Couples / visiting families</x:v>
      </x:c>
      <x:c r="F90" s="105" t="str">
        <x:v>Both</x:v>
      </x:c>
      <x:c r="G90" s="105" t="str">
        <x:v>Balanced</x:v>
      </x:c>
      <x:c r="H90" s="105" t="str">
        <x:v>Investigate a specific winter/weekday niche with conservative summer revenue</x:v>
      </x:c>
      <x:c r="I90" s="105" t="str">
        <x:v>Summer heat; geographic data change; low-ADR competition</x:v>
      </x:c>
      <x:c r="J90" s="105" t="str">
        <x:v>Check guest-origin drive times, airport access and actual arrival logistics</x:v>
      </x:c>
    </x:row>
    <x:row r="91" ht="72" customHeight="1">
      <x:c r="A91" s="105" t="n">
        <x:v>85</x:v>
      </x:c>
      <x:c r="B91" s="105" t="str">
        <x:v>Joshua Tree</x:v>
      </x:c>
      <x:c r="C91" s="105" t="str">
        <x:v>High</x:v>
      </x:c>
      <x:c r="D91" s="105" t="str">
        <x:v>Desert and national-park leisure</x:v>
      </x:c>
      <x:c r="E91" s="105" t="str">
        <x:v>Couples / small groups</x:v>
      </x:c>
      <x:c r="F91" s="105" t="str">
        <x:v>Ownership</x:v>
      </x:c>
      <x:c r="G91" s="105" t="str">
        <x:v>Balanced</x:v>
      </x:c>
      <x:c r="H91" s="105" t="str">
        <x:v>Test a distinctive small-home concept without assuming design guarantees demand</x:v>
      </x:c>
      <x:c r="I91" s="105" t="str">
        <x:v>Summer heat; water/septic; competition; wildfire/insurance</x:v>
      </x:c>
      <x:c r="J91" s="105" t="str">
        <x:v>Check guest-origin drive times, airport access and actual arrival logistics</x:v>
      </x:c>
    </x:row>
    <x:row r="92" ht="72" customHeight="1">
      <x:c r="A92" s="105" t="n">
        <x:v>86</x:v>
      </x:c>
      <x:c r="B92" s="105" t="str">
        <x:v>Big Bear Lake</x:v>
      </x:c>
      <x:c r="C92" s="105" t="str">
        <x:v>High</x:v>
      </x:c>
      <x:c r="D92" s="105" t="str">
        <x:v>Mountain; lake and ski trips</x:v>
      </x:c>
      <x:c r="E92" s="105" t="str">
        <x:v>Families / groups</x:v>
      </x:c>
      <x:c r="F92" s="105" t="str">
        <x:v>Ownership</x:v>
      </x:c>
      <x:c r="G92" s="105" t="str">
        <x:v>Balanced</x:v>
      </x:c>
      <x:c r="H92" s="105" t="str">
        <x:v>Evaluate both winter and summer cash flow, including shoulder-season losses</x:v>
      </x:c>
      <x:c r="I92" s="105" t="str">
        <x:v>Low annual occupancy; snow removal; wildfire insurance; repairs</x:v>
      </x:c>
      <x:c r="J92" s="105" t="str">
        <x:v>Check guest-origin drive times, airport access and actual arrival logistics</x:v>
      </x:c>
    </x:row>
    <x:row r="93" ht="72" customHeight="1">
      <x:c r="A93" s="105" t="n">
        <x:v>87</x:v>
      </x:c>
      <x:c r="B93" s="105" t="str">
        <x:v>Palm Springs</x:v>
      </x:c>
      <x:c r="C93" s="105" t="str">
        <x:v>High</x:v>
      </x:c>
      <x:c r="D93" s="105" t="str">
        <x:v>Winter leisure; design and resort weekends</x:v>
      </x:c>
      <x:c r="E93" s="105" t="str">
        <x:v>Couples / groups</x:v>
      </x:c>
      <x:c r="F93" s="105" t="str">
        <x:v>Ownership</x:v>
      </x:c>
      <x:c r="G93" s="105" t="str">
        <x:v>Restricted-path research</x:v>
      </x:c>
      <x:c r="H93" s="105" t="str">
        <x:v>Underwrite the allowed number of contracts, not unrestricted night availability</x:v>
      </x:c>
      <x:c r="I93" s="105" t="str">
        <x:v>Contract caps; neighborhood cap; pool heat; summer vacancy</x:v>
      </x:c>
      <x:c r="J93" s="105" t="str">
        <x:v>Check guest-origin drive times, airport access and actual arrival logistics</x:v>
      </x:c>
    </x:row>
    <x:row r="94" ht="72" customHeight="1">
      <x:c r="A94" s="105" t="n">
        <x:v>88</x:v>
      </x:c>
      <x:c r="B94" s="105" t="str">
        <x:v>Mammoth Lakes</x:v>
      </x:c>
      <x:c r="C94" s="105" t="str">
        <x:v>High</x:v>
      </x:c>
      <x:c r="D94" s="105" t="str">
        <x:v>Skiing; summer mountain recreation</x:v>
      </x:c>
      <x:c r="E94" s="105" t="str">
        <x:v>Families / outdoor visitors</x:v>
      </x:c>
      <x:c r="F94" s="105" t="str">
        <x:v>Ownership</x:v>
      </x:c>
      <x:c r="G94" s="105" t="str">
        <x:v>Premium revenue</x:v>
      </x:c>
      <x:c r="H94" s="105" t="str">
        <x:v>Compare permitted condo inventory with full winter and association costs</x:v>
      </x:c>
      <x:c r="I94" s="105" t="str">
        <x:v>Weather/snow; HOA assessments; high ownership costs</x:v>
      </x:c>
      <x:c r="J94" s="105" t="str">
        <x:v>Check guest-origin drive times, airport access and actual arrival logistics</x:v>
      </x:c>
    </x:row>
    <x:row r="95" ht="72" customHeight="1">
      <x:c r="A95" s="105" t="n">
        <x:v>89</x:v>
      </x:c>
      <x:c r="B95" s="105" t="str">
        <x:v>Breckenridge</x:v>
      </x:c>
      <x:c r="C95" s="105" t="str">
        <x:v>High</x:v>
      </x:c>
      <x:c r="D95" s="105" t="str">
        <x:v>Ski and summer mountain travel</x:v>
      </x:c>
      <x:c r="E95" s="105" t="str">
        <x:v>Families / groups</x:v>
      </x:c>
      <x:c r="F95" s="105" t="str">
        <x:v>Ownership</x:v>
      </x:c>
      <x:c r="G95" s="105" t="str">
        <x:v>Restricted-path research</x:v>
      </x:c>
      <x:c r="H95" s="105" t="str">
        <x:v>Research license availability before pricing a property as an operating STR</x:v>
      </x:c>
      <x:c r="I95" s="105" t="str">
        <x:v>License caps; nontransferability; high capital/HOA costs</x:v>
      </x:c>
      <x:c r="J95" s="105" t="str">
        <x:v>Check guest-origin drive times, airport access and actual arrival logistics</x:v>
      </x:c>
    </x:row>
    <x:row r="96" ht="72" customHeight="1">
      <x:c r="A96" s="105" t="n">
        <x:v>90</x:v>
      </x:c>
      <x:c r="B96" s="105" t="str">
        <x:v>Estes Park</x:v>
      </x:c>
      <x:c r="C96" s="105" t="str">
        <x:v>High</x:v>
      </x:c>
      <x:c r="D96" s="105" t="str">
        <x:v>National-park gateway; summer leisure</x:v>
      </x:c>
      <x:c r="E96" s="105" t="str">
        <x:v>Families / outdoor visitors</x:v>
      </x:c>
      <x:c r="F96" s="105" t="str">
        <x:v>Ownership</x:v>
      </x:c>
      <x:c r="G96" s="105" t="str">
        <x:v>Restricted-path research</x:v>
      </x:c>
      <x:c r="H96" s="105" t="str">
        <x:v>Test only a verified license path with funded off-season carrying costs</x:v>
      </x:c>
      <x:c r="I96" s="105" t="str">
        <x:v>Residential license cap; seasonal road access; wildfire</x:v>
      </x:c>
      <x:c r="J96" s="105" t="str">
        <x:v>Test regional drive-to access, winter road reliability and service access</x:v>
      </x:c>
    </x:row>
    <x:row r="97" ht="72" customHeight="1">
      <x:c r="A97" s="105" t="n">
        <x:v>91</x:v>
      </x:c>
      <x:c r="B97" s="105" t="str">
        <x:v>Pagosa Springs</x:v>
      </x:c>
      <x:c r="C97" s="105" t="str">
        <x:v>High</x:v>
      </x:c>
      <x:c r="D97" s="105" t="str">
        <x:v>Hot springs; mountain and winter recreation</x:v>
      </x:c>
      <x:c r="E97" s="105" t="str">
        <x:v>Families / couples</x:v>
      </x:c>
      <x:c r="F97" s="105" t="str">
        <x:v>Ownership</x:v>
      </x:c>
      <x:c r="G97" s="105" t="str">
        <x:v>Balanced</x:v>
      </x:c>
      <x:c r="H97" s="105" t="str">
        <x:v>Research multiple leisure seasons with a conservative maintenance budget</x:v>
      </x:c>
      <x:c r="I97" s="105" t="str">
        <x:v>Snow/access; remote service costs; seasonality</x:v>
      </x:c>
      <x:c r="J97" s="105" t="str">
        <x:v>Check guest-origin drive times, airport access and actual arrival logistics</x:v>
      </x:c>
    </x:row>
    <x:row r="98" ht="72" customHeight="1">
      <x:c r="A98" s="105" t="n">
        <x:v>92</x:v>
      </x:c>
      <x:c r="B98" s="105" t="str">
        <x:v>Durango</x:v>
      </x:c>
      <x:c r="C98" s="105" t="str">
        <x:v>High</x:v>
      </x:c>
      <x:c r="D98" s="105" t="str">
        <x:v>Rail; mountain recreation; ski-area visits</x:v>
      </x:c>
      <x:c r="E98" s="105" t="str">
        <x:v>Families / outdoor guests</x:v>
      </x:c>
      <x:c r="F98" s="105" t="str">
        <x:v>Ownership</x:v>
      </x:c>
      <x:c r="G98" s="105" t="str">
        <x:v>Balanced</x:v>
      </x:c>
      <x:c r="H98" s="105" t="str">
        <x:v>Compare city stays and resort-area homes as separate operating models</x:v>
      </x:c>
      <x:c r="I98" s="105" t="str">
        <x:v>Undated STR snapshot; city/resort scope; high costs</x:v>
      </x:c>
      <x:c r="J98" s="105" t="str">
        <x:v>Check guest-origin drive times, airport access and actual arrival logistics</x:v>
      </x:c>
    </x:row>
    <x:row r="99" ht="72" customHeight="1">
      <x:c r="A99" s="105" t="n">
        <x:v>93</x:v>
      </x:c>
      <x:c r="B99" s="105" t="str">
        <x:v>Park City</x:v>
      </x:c>
      <x:c r="C99" s="105" t="str">
        <x:v>High</x:v>
      </x:c>
      <x:c r="D99" s="105" t="str">
        <x:v>Ski; summer recreation; premium leisure</x:v>
      </x:c>
      <x:c r="E99" s="105" t="str">
        <x:v>Families / premium guests</x:v>
      </x:c>
      <x:c r="F99" s="105" t="str">
        <x:v>Ownership</x:v>
      </x:c>
      <x:c r="G99" s="105" t="str">
        <x:v>Premium revenue</x:v>
      </x:c>
      <x:c r="H99" s="105" t="str">
        <x:v>Test premium gross revenue against net yield and available legal rental inventory</x:v>
      </x:c>
      <x:c r="I99" s="105" t="str">
        <x:v>Large acquisition cost; HOA fees; seasonal concentration</x:v>
      </x:c>
      <x:c r="J99" s="105" t="str">
        <x:v>Check guest-origin drive times, airport access and actual arrival logistics</x:v>
      </x:c>
    </x:row>
    <x:row r="100" ht="72" customHeight="1">
      <x:c r="A100" s="105" t="n">
        <x:v>94</x:v>
      </x:c>
      <x:c r="B100" s="105" t="str">
        <x:v>Hurricane</x:v>
      </x:c>
      <x:c r="C100" s="105" t="str">
        <x:v>High</x:v>
      </x:c>
      <x:c r="D100" s="105" t="str">
        <x:v>Southern Utah outdoor travel; park-gateway trips</x:v>
      </x:c>
      <x:c r="E100" s="105" t="str">
        <x:v>Families / groups</x:v>
      </x:c>
      <x:c r="F100" s="105" t="str">
        <x:v>Ownership</x:v>
      </x:c>
      <x:c r="G100" s="105" t="str">
        <x:v>Balanced</x:v>
      </x:c>
      <x:c r="H100" s="105" t="str">
        <x:v>Compare purpose-approved vacation communities with standard residential property</x:v>
      </x:c>
      <x:c r="I100" s="105" t="str">
        <x:v>Summer heat; pool costs; legal rental-zone availability</x:v>
      </x:c>
      <x:c r="J100" s="105" t="str">
        <x:v>Test regional drive-to access, winter road reliability and service access</x:v>
      </x:c>
    </x:row>
    <x:row r="101" ht="72" customHeight="1">
      <x:c r="A101" s="105" t="n">
        <x:v>95</x:v>
      </x:c>
      <x:c r="B101" s="105" t="str">
        <x:v>Moab</x:v>
      </x:c>
      <x:c r="C101" s="105" t="str">
        <x:v>High</x:v>
      </x:c>
      <x:c r="D101" s="105" t="str">
        <x:v>National-park gateway; outdoor/adventure trips</x:v>
      </x:c>
      <x:c r="E101" s="105" t="str">
        <x:v>Outdoor groups / families</x:v>
      </x:c>
      <x:c r="F101" s="105" t="str">
        <x:v>Ownership</x:v>
      </x:c>
      <x:c r="G101" s="105" t="str">
        <x:v>Restricted-path research</x:v>
      </x:c>
      <x:c r="H101" s="105" t="str">
        <x:v>Research legally eligible lodging stock rather than a general residential conversion</x:v>
      </x:c>
      <x:c r="I101" s="105" t="str">
        <x:v>Restricted lodging locations; heat; labor and service costs</x:v>
      </x:c>
      <x:c r="J101" s="105" t="str">
        <x:v>Test regional drive-to access, winter road reliability and service access</x:v>
      </x:c>
    </x:row>
    <x:row r="102" ht="72" customHeight="1">
      <x:c r="A102" s="105" t="n">
        <x:v>96</x:v>
      </x:c>
      <x:c r="B102" s="105" t="str">
        <x:v>Whitefish</x:v>
      </x:c>
      <x:c r="C102" s="105" t="str">
        <x:v>High</x:v>
      </x:c>
      <x:c r="D102" s="105" t="str">
        <x:v>Mountain resort; Glacier-region visits</x:v>
      </x:c>
      <x:c r="E102" s="105" t="str">
        <x:v>Families / outdoor visitors</x:v>
      </x:c>
      <x:c r="F102" s="105" t="str">
        <x:v>Ownership</x:v>
      </x:c>
      <x:c r="G102" s="105" t="str">
        <x:v>Restricted-path research</x:v>
      </x:c>
      <x:c r="H102" s="105" t="str">
        <x:v>Test a permitted resort/business-zone property against full seasonal costs</x:v>
      </x:c>
      <x:c r="I102" s="105" t="str">
        <x:v>Restricted zoning; wildfire; snow; data comparability</x:v>
      </x:c>
      <x:c r="J102" s="105" t="str">
        <x:v>Check guest-origin drive times, airport access and actual arrival logistics</x:v>
      </x:c>
    </x:row>
    <x:row r="103" ht="72" customHeight="1">
      <x:c r="A103" s="105" t="n">
        <x:v>97</x:v>
      </x:c>
      <x:c r="B103" s="105" t="str">
        <x:v>West Yellowstone</x:v>
      </x:c>
      <x:c r="C103" s="105" t="str">
        <x:v>High</x:v>
      </x:c>
      <x:c r="D103" s="105" t="str">
        <x:v>National-park gateway visits</x:v>
      </x:c>
      <x:c r="E103" s="105" t="str">
        <x:v>Families / outdoor visitors</x:v>
      </x:c>
      <x:c r="F103" s="105" t="str">
        <x:v>Ownership</x:v>
      </x:c>
      <x:c r="G103" s="105" t="str">
        <x:v>Premium revenue</x:v>
      </x:c>
      <x:c r="H103" s="105" t="str">
        <x:v>Model actual open/available months instead of multiplying summer rates by 365</x:v>
      </x:c>
      <x:c r="I103" s="105" t="str">
        <x:v>Undated data; short peak season; access/weather</x:v>
      </x:c>
      <x:c r="J103" s="105" t="str">
        <x:v>Test regional drive-to access, winter road reliability and service access</x:v>
      </x:c>
    </x:row>
    <x:row r="104" ht="72" customHeight="1">
      <x:c r="A104" s="105" t="n">
        <x:v>98</x:v>
      </x:c>
      <x:c r="B104" s="105" t="str">
        <x:v>Bend</x:v>
      </x:c>
      <x:c r="C104" s="105" t="str">
        <x:v>High</x:v>
      </x:c>
      <x:c r="D104" s="105" t="str">
        <x:v>Outdoor; mountain and regional leisure</x:v>
      </x:c>
      <x:c r="E104" s="105" t="str">
        <x:v>Couples / families</x:v>
      </x:c>
      <x:c r="F104" s="105" t="str">
        <x:v>Ownership</x:v>
      </x:c>
      <x:c r="G104" s="105" t="str">
        <x:v>Restricted-path research</x:v>
      </x:c>
      <x:c r="H104" s="105" t="str">
        <x:v>Research a permit-eligible location and credible year-round operating budget</x:v>
      </x:c>
      <x:c r="I104" s="105" t="str">
        <x:v>Type II spacing; capital costs; wildfire; seasonal demand</x:v>
      </x:c>
      <x:c r="J104" s="105" t="str">
        <x:v>Check guest-origin drive times, airport access and actual arrival logistics</x:v>
      </x:c>
    </x:row>
    <x:row r="105" ht="72" customHeight="1">
      <x:c r="A105" s="105" t="n">
        <x:v>99</x:v>
      </x:c>
      <x:c r="B105" s="105" t="str">
        <x:v>Lincoln City</x:v>
      </x:c>
      <x:c r="C105" s="105" t="str">
        <x:v>High</x:v>
      </x:c>
      <x:c r="D105" s="105" t="str">
        <x:v>Coastal drive-to holidays</x:v>
      </x:c>
      <x:c r="E105" s="105" t="str">
        <x:v>Families / couples</x:v>
      </x:c>
      <x:c r="F105" s="105" t="str">
        <x:v>Ownership</x:v>
      </x:c>
      <x:c r="G105" s="105" t="str">
        <x:v>Balanced</x:v>
      </x:c>
      <x:c r="H105" s="105" t="str">
        <x:v>Compare a beach-access property with its off-season and salt-air cost burden</x:v>
      </x:c>
      <x:c r="I105" s="105" t="str">
        <x:v>Coastal storms; permit availability; maintenance</x:v>
      </x:c>
      <x:c r="J105" s="105" t="str">
        <x:v>Check guest-origin drive times, airport access and actual arrival logistics</x:v>
      </x:c>
    </x:row>
    <x:row r="106" ht="72" customHeight="1">
      <x:c r="A106" s="105" t="n">
        <x:v>100</x:v>
      </x:c>
      <x:c r="B106" s="105" t="str">
        <x:v>Bar Harbor</x:v>
      </x:c>
      <x:c r="C106" s="105" t="str">
        <x:v>High</x:v>
      </x:c>
      <x:c r="D106" s="105" t="str">
        <x:v>Acadia gateway; coastal vacations</x:v>
      </x:c>
      <x:c r="E106" s="105" t="str">
        <x:v>Families / couples</x:v>
      </x:c>
      <x:c r="F106" s="105" t="str">
        <x:v>Ownership</x:v>
      </x:c>
      <x:c r="G106" s="105" t="str">
        <x:v>Restricted-path research</x:v>
      </x:c>
      <x:c r="H106" s="105" t="str">
        <x:v>Test legal availability and full winter carrying costs before peak-season upside</x:v>
      </x:c>
      <x:c r="I106" s="105" t="str">
        <x:v>Short tourism season; registration limits; minimum stays</x:v>
      </x:c>
      <x:c r="J106" s="105" t="str">
        <x:v>Test regional drive-to access, winter road reliability and service access</x:v>
      </x:c>
    </x:row>
  </x:sheetData>
  <x:mergeCells>
    <x:mergeCell ref="A1:G2"/>
    <x:mergeCell ref="A3:G4"/>
  </x:mergeCells>
  <x:pageMargins left="0.7" right="0.7" top="0.75" bottom="0.75" header="0.3" footer="0.3"/>
  <x:tableParts count="1">
    <x:tablePart xmlns:r="http://schemas.openxmlformats.org/officeDocument/2006/relationships" r:id="R8e4af0eed66f435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0" hidden="0" customWidth="1"/>
    <x:col min="3" max="3" width="18" hidden="0" customWidth="1"/>
    <x:col min="4" max="4" width="14" hidden="0" customWidth="1"/>
    <x:col min="5" max="5" width="42" hidden="0" customWidth="1"/>
    <x:col min="6" max="6" width="13" hidden="0" customWidth="1"/>
    <x:col min="7" max="7" width="20" hidden="0" customWidth="1"/>
    <x:col min="8" max="8" width="14" hidden="0" customWidth="1"/>
    <x:col min="9" max="9" width="23" hidden="0" customWidth="1"/>
    <x:col min="10" max="10" width="42" hidden="0" customWidth="1"/>
    <x:col min="11" max="11" width="42" hidden="0" customWidth="1"/>
  </x:cols>
  <x:sheetData>
    <x:row r="1" ht="28" customHeight="1">
      <x:c r="A1" s="80" t="str">
        <x:v>COST BENCHMARKS | Context, not a quote</x:v>
      </x:c>
      <x:c r="B1" s="80"/>
      <x:c r="C1" s="80"/>
      <x:c r="D1" s="80"/>
      <x:c r="E1" s="80"/>
      <x:c r="F1" s="80"/>
      <x:c r="G1" s="80"/>
      <x:c r="H1" s="80"/>
      <x:c r="I1" s="80"/>
      <x:c r="J1" s="80"/>
      <x:c r="K1" s="80"/>
    </x:row>
    <x:row r="2" ht="24" customHeight="1">
      <x:c r="A2" s="80"/>
      <x:c r="B2" s="80"/>
      <x:c r="C2" s="80"/>
      <x:c r="D2" s="80"/>
      <x:c r="E2" s="80"/>
      <x:c r="F2" s="80"/>
      <x:c r="G2" s="80"/>
      <x:c r="H2" s="80"/>
      <x:c r="I2" s="80"/>
      <x:c r="J2" s="80"/>
      <x:c r="K2" s="80"/>
    </x:row>
    <x:row r="3" ht="27" customHeight="1">
      <x:c r="A3" s="81" t="str">
        <x:v>Typical housing values and rent series do not price an STR-ready asset. Missing values are intentionally blank. Tier: Low &lt; $300k; Medium $300k–$600k; High &gt; $600k; otherwise Unverified.</x:v>
      </x:c>
      <x:c r="B3" s="81"/>
      <x:c r="C3" s="81"/>
      <x:c r="D3" s="81"/>
      <x:c r="E3" s="81"/>
      <x:c r="F3" s="81"/>
      <x:c r="G3" s="81"/>
      <x:c r="H3" s="81"/>
      <x:c r="I3" s="81"/>
      <x:c r="J3" s="81"/>
      <x:c r="K3" s="81"/>
    </x:row>
    <x:row r="4" ht="27" customHeight="1">
      <x:c r="A4" s="81"/>
      <x:c r="B4" s="81"/>
      <x:c r="C4" s="81"/>
      <x:c r="D4" s="81"/>
      <x:c r="E4" s="81"/>
      <x:c r="F4" s="81"/>
      <x:c r="G4" s="81"/>
      <x:c r="H4" s="81"/>
      <x:c r="I4" s="81"/>
      <x:c r="J4" s="81"/>
      <x:c r="K4" s="81"/>
    </x:row>
    <x:row r="5" ht="10" customHeight="1">
      <x:c r="A5" s="78"/>
      <x:c r="B5" s="78"/>
      <x:c r="C5" s="78"/>
      <x:c r="D5" s="78"/>
      <x:c r="E5" s="78"/>
      <x:c r="F5" s="78"/>
      <x:c r="G5" s="78"/>
      <x:c r="H5" s="78"/>
      <x:c r="I5" s="78"/>
      <x:c r="J5" s="78"/>
      <x:c r="K5" s="78"/>
    </x:row>
    <x:row r="6" ht="37" customHeight="1">
      <x:c r="A6" s="103" t="str">
        <x:v>ID</x:v>
      </x:c>
      <x:c r="B6" s="103" t="str">
        <x:v>Market</x:v>
      </x:c>
      <x:c r="C6" s="103" t="str">
        <x:v>Typical home value ($)</x:v>
      </x:c>
      <x:c r="D6" s="103" t="str">
        <x:v>Home value date</x:v>
      </x:c>
      <x:c r="E6" s="103" t="str">
        <x:v>Home value basis</x:v>
      </x:c>
      <x:c r="F6" s="103" t="str">
        <x:v>Price tier</x:v>
      </x:c>
      <x:c r="G6" s="103" t="str">
        <x:v>Monthly rent benchmark ($)</x:v>
      </x:c>
      <x:c r="H6" s="103" t="str">
        <x:v>Rent date</x:v>
      </x:c>
      <x:c r="I6" s="103" t="str">
        <x:v>Rent measure</x:v>
      </x:c>
      <x:c r="J6" s="103" t="str">
        <x:v>Home source URL</x:v>
      </x:c>
      <x:c r="K6" s="103" t="str">
        <x:v>Rent source URL</x:v>
      </x:c>
    </x:row>
    <x:row r="7" ht="72" customHeight="1">
      <x:c r="A7" s="78" t="n">
        <x:v>1</x:v>
      </x:c>
      <x:c r="B7" s="78" t="str">
        <x:v>Sevierville</x:v>
      </x:c>
      <x:c r="C7" s="115" t="n">
        <x:v>415594</x:v>
      </x:c>
      <x:c r="D7" s="78" t="str">
        <x:v>2026-04-30</x:v>
      </x:c>
      <x:c r="E7" s="78" t="str">
        <x:v>Zillow typical home value (ZHVI); city, not STR-ready property</x:v>
      </x:c>
      <x:c r="F7" s="78" t="str">
        <x:f>IF(C7="","Unverified",IF(C7&lt;300000,"Low",IF(C7&lt;=600000,"Medium","High")))</x:f>
        <x:v>Medium</x:v>
      </x:c>
      <x:c r="G7" s="115"/>
      <x:c r="H7" s="78"/>
      <x:c r="I7" s="78" t="str">
        <x:v>Not retrieved</x:v>
      </x:c>
      <x:c r="J7" s="78" t="str">
        <x:v>https://www.zillow.com/home-values/7018/sevierville-tn/</x:v>
      </x:c>
      <x:c r="K7" s="78"/>
    </x:row>
    <x:row r="8" ht="72" customHeight="1">
      <x:c r="A8" s="78" t="n">
        <x:v>2</x:v>
      </x:c>
      <x:c r="B8" s="78" t="str">
        <x:v>Gatlinburg</x:v>
      </x:c>
      <x:c r="C8" s="115" t="n">
        <x:v>406899</x:v>
      </x:c>
      <x:c r="D8" s="78" t="str">
        <x:v>2026-08-31</x:v>
      </x:c>
      <x:c r="E8" s="78" t="str">
        <x:v>Zillow typical home value (ZHVI); city, not STR-ready property</x:v>
      </x:c>
      <x:c r="F8" s="78" t="str">
        <x:f>IF(C8="","Unverified",IF(C8&lt;300000,"Low",IF(C8&lt;=600000,"Medium","High")))</x:f>
        <x:v>Medium</x:v>
      </x:c>
      <x:c r="G8" s="115"/>
      <x:c r="H8" s="78"/>
      <x:c r="I8" s="78" t="str">
        <x:v>Not retrieved</x:v>
      </x:c>
      <x:c r="J8" s="78" t="str">
        <x:v>https://www.zillow.com/home-values/18258/gatlinburg-tn/</x:v>
      </x:c>
      <x:c r="K8" s="78"/>
    </x:row>
    <x:row r="9" ht="72" customHeight="1">
      <x:c r="A9" s="78" t="n">
        <x:v>3</x:v>
      </x:c>
      <x:c r="B9" s="78" t="str">
        <x:v>Pigeon Forge</x:v>
      </x:c>
      <x:c r="C9" s="115"/>
      <x:c r="D9" s="78"/>
      <x:c r="E9" s="78" t="str">
        <x:v>Not retrieved for a verified comparable geography</x:v>
      </x:c>
      <x:c r="F9" s="78" t="str">
        <x:f>IF(C9="","Unverified",IF(C9&lt;300000,"Low",IF(C9&lt;=600000,"Medium","High")))</x:f>
        <x:v>Unverified</x:v>
      </x:c>
      <x:c r="G9" s="115"/>
      <x:c r="H9" s="78"/>
      <x:c r="I9" s="78" t="str">
        <x:v>Not retrieved</x:v>
      </x:c>
      <x:c r="J9" s="78"/>
      <x:c r="K9" s="78"/>
    </x:row>
    <x:row r="10" ht="72" customHeight="1">
      <x:c r="A10" s="78" t="n">
        <x:v>4</x:v>
      </x:c>
      <x:c r="B10" s="78" t="str">
        <x:v>Blue Ridge</x:v>
      </x:c>
      <x:c r="C10" s="115"/>
      <x:c r="D10" s="78"/>
      <x:c r="E10" s="78" t="str">
        <x:v>Not retrieved for a verified comparable geography</x:v>
      </x:c>
      <x:c r="F10" s="78" t="str">
        <x:f>IF(C10="","Unverified",IF(C10&lt;300000,"Low",IF(C10&lt;=600000,"Medium","High")))</x:f>
        <x:v>Unverified</x:v>
      </x:c>
      <x:c r="G10" s="115"/>
      <x:c r="H10" s="78"/>
      <x:c r="I10" s="78" t="str">
        <x:v>Not retrieved</x:v>
      </x:c>
      <x:c r="J10" s="78"/>
      <x:c r="K10" s="78"/>
    </x:row>
    <x:row r="11" ht="72" customHeight="1">
      <x:c r="A11" s="78" t="n">
        <x:v>5</x:v>
      </x:c>
      <x:c r="B11" s="78" t="str">
        <x:v>Ellijay</x:v>
      </x:c>
      <x:c r="C11" s="115"/>
      <x:c r="D11" s="78"/>
      <x:c r="E11" s="78" t="str">
        <x:v>Not retrieved for a verified comparable geography</x:v>
      </x:c>
      <x:c r="F11" s="78" t="str">
        <x:f>IF(C11="","Unverified",IF(C11&lt;300000,"Low",IF(C11&lt;=600000,"Medium","High")))</x:f>
        <x:v>Unverified</x:v>
      </x:c>
      <x:c r="G11" s="115"/>
      <x:c r="H11" s="78"/>
      <x:c r="I11" s="78" t="str">
        <x:v>Not retrieved</x:v>
      </x:c>
      <x:c r="J11" s="78"/>
      <x:c r="K11" s="78"/>
    </x:row>
    <x:row r="12" ht="72" customHeight="1">
      <x:c r="A12" s="78" t="n">
        <x:v>6</x:v>
      </x:c>
      <x:c r="B12" s="78" t="str">
        <x:v>Broken Bow</x:v>
      </x:c>
      <x:c r="C12" s="115"/>
      <x:c r="D12" s="78"/>
      <x:c r="E12" s="78" t="str">
        <x:v>Not retrieved for a verified comparable geography</x:v>
      </x:c>
      <x:c r="F12" s="78" t="str">
        <x:f>IF(C12="","Unverified",IF(C12&lt;300000,"Low",IF(C12&lt;=600000,"Medium","High")))</x:f>
        <x:v>Unverified</x:v>
      </x:c>
      <x:c r="G12" s="115"/>
      <x:c r="H12" s="78"/>
      <x:c r="I12" s="78" t="str">
        <x:v>Not retrieved</x:v>
      </x:c>
      <x:c r="J12" s="78"/>
      <x:c r="K12" s="78"/>
    </x:row>
    <x:row r="13" ht="72" customHeight="1">
      <x:c r="A13" s="78" t="n">
        <x:v>7</x:v>
      </x:c>
      <x:c r="B13" s="78" t="str">
        <x:v>Branson</x:v>
      </x:c>
      <x:c r="C13" s="115" t="n">
        <x:v>246088</x:v>
      </x:c>
      <x:c r="D13" s="78" t="str">
        <x:v>2026-08-31</x:v>
      </x:c>
      <x:c r="E13" s="78" t="str">
        <x:v>Zillow typical home value (ZHVI); city, not STR-ready property</x:v>
      </x:c>
      <x:c r="F13" s="78" t="str">
        <x:f>IF(C13="","Unverified",IF(C13&lt;300000,"Low",IF(C13&lt;=600000,"Medium","High")))</x:f>
        <x:v>Low</x:v>
      </x:c>
      <x:c r="G13" s="115" t="n">
        <x:v>1266</x:v>
      </x:c>
      <x:c r="H13" s="78" t="str">
        <x:v>2026-08-31</x:v>
      </x:c>
      <x:c r="I13" s="78" t="str">
        <x:v>Zillow Observed Rent Index (ZORI) on housing-market page; not lease quote</x:v>
      </x:c>
      <x:c r="J13" s="78" t="str">
        <x:v>https://www.zillow.com/home-values/3788/branson-mo/</x:v>
      </x:c>
      <x:c r="K13" s="78" t="str">
        <x:v>https://www.zillow.com/home-values/3788/branson-mo/</x:v>
      </x:c>
    </x:row>
    <x:row r="14" ht="72" customHeight="1">
      <x:c r="A14" s="78" t="n">
        <x:v>8</x:v>
      </x:c>
      <x:c r="B14" s="78" t="str">
        <x:v>Hot Springs</x:v>
      </x:c>
      <x:c r="C14" s="115"/>
      <x:c r="D14" s="78"/>
      <x:c r="E14" s="78" t="str">
        <x:v>Not retrieved for a verified comparable geography</x:v>
      </x:c>
      <x:c r="F14" s="78" t="str">
        <x:f>IF(C14="","Unverified",IF(C14&lt;300000,"Low",IF(C14&lt;=600000,"Medium","High")))</x:f>
        <x:v>Unverified</x:v>
      </x:c>
      <x:c r="G14" s="115"/>
      <x:c r="H14" s="78"/>
      <x:c r="I14" s="78" t="str">
        <x:v>Not retrieved</x:v>
      </x:c>
      <x:c r="J14" s="78"/>
      <x:c r="K14" s="78"/>
    </x:row>
    <x:row r="15" ht="72" customHeight="1">
      <x:c r="A15" s="78" t="n">
        <x:v>9</x:v>
      </x:c>
      <x:c r="B15" s="78" t="str">
        <x:v>Gulf Shores</x:v>
      </x:c>
      <x:c r="C15" s="115" t="n">
        <x:v>452086</x:v>
      </x:c>
      <x:c r="D15" s="78" t="str">
        <x:v>2026-04-30</x:v>
      </x:c>
      <x:c r="E15" s="78" t="str">
        <x:v>Zillow typical home value (ZHVI); city, not STR-ready property</x:v>
      </x:c>
      <x:c r="F15" s="78" t="str">
        <x:f>IF(C15="","Unverified",IF(C15&lt;300000,"Low",IF(C15&lt;=600000,"Medium","High")))</x:f>
        <x:v>Medium</x:v>
      </x:c>
      <x:c r="G15" s="115"/>
      <x:c r="H15" s="78"/>
      <x:c r="I15" s="78" t="str">
        <x:v>Not retrieved</x:v>
      </x:c>
      <x:c r="J15" s="78" t="str">
        <x:v>https://www.zillow.com/home-values/18411/gulf-shores-al/</x:v>
      </x:c>
      <x:c r="K15" s="78"/>
    </x:row>
    <x:row r="16" ht="72" customHeight="1">
      <x:c r="A16" s="78" t="n">
        <x:v>10</x:v>
      </x:c>
      <x:c r="B16" s="78" t="str">
        <x:v>Orange Beach</x:v>
      </x:c>
      <x:c r="C16" s="115" t="n">
        <x:v>682786</x:v>
      </x:c>
      <x:c r="D16" s="78" t="str">
        <x:v>2026-08-31</x:v>
      </x:c>
      <x:c r="E16" s="78" t="str">
        <x:v>Zillow typical home value (ZHVI); city, not STR-ready property</x:v>
      </x:c>
      <x:c r="F16" s="78" t="str">
        <x:f>IF(C16="","Unverified",IF(C16&lt;300000,"Low",IF(C16&lt;=600000,"Medium","High")))</x:f>
        <x:v>High</x:v>
      </x:c>
      <x:c r="G16" s="115"/>
      <x:c r="H16" s="78"/>
      <x:c r="I16" s="78" t="str">
        <x:v>Not retrieved</x:v>
      </x:c>
      <x:c r="J16" s="78" t="str">
        <x:v>https://www.zillow.com/home-values/56112/orange-beach-al/</x:v>
      </x:c>
      <x:c r="K16" s="78"/>
    </x:row>
    <x:row r="17" ht="72" customHeight="1">
      <x:c r="A17" s="78" t="n">
        <x:v>11</x:v>
      </x:c>
      <x:c r="B17" s="78" t="str">
        <x:v>Panama City Beach</x:v>
      </x:c>
      <x:c r="C17" s="115" t="n">
        <x:v>414475</x:v>
      </x:c>
      <x:c r="D17" s="78" t="str">
        <x:v>2026-08-31</x:v>
      </x:c>
      <x:c r="E17" s="78" t="str">
        <x:v>Zillow typical home value (ZHVI); city, not STR-ready property</x:v>
      </x:c>
      <x:c r="F17" s="78" t="str">
        <x:f>IF(C17="","Unverified",IF(C17&lt;300000,"Low",IF(C17&lt;=600000,"Medium","High")))</x:f>
        <x:v>Medium</x:v>
      </x:c>
      <x:c r="G17" s="115"/>
      <x:c r="H17" s="78"/>
      <x:c r="I17" s="78" t="str">
        <x:v>Not retrieved</x:v>
      </x:c>
      <x:c r="J17" s="78" t="str">
        <x:v>https://www.zillow.com/home-values/6391/panama-city%20beach-fl/</x:v>
      </x:c>
      <x:c r="K17" s="78"/>
    </x:row>
    <x:row r="18" ht="72" customHeight="1">
      <x:c r="A18" s="78" t="n">
        <x:v>12</x:v>
      </x:c>
      <x:c r="B18" s="78" t="str">
        <x:v>Destin</x:v>
      </x:c>
      <x:c r="C18" s="115" t="n">
        <x:v>612080</x:v>
      </x:c>
      <x:c r="D18" s="78" t="str">
        <x:v>2026-08-31</x:v>
      </x:c>
      <x:c r="E18" s="78" t="str">
        <x:v>Zillow typical home value (ZHVI); city, not STR-ready property</x:v>
      </x:c>
      <x:c r="F18" s="78" t="str">
        <x:f>IF(C18="","Unverified",IF(C18&lt;300000,"Low",IF(C18&lt;=600000,"Medium","High")))</x:f>
        <x:v>High</x:v>
      </x:c>
      <x:c r="G18" s="115"/>
      <x:c r="H18" s="78"/>
      <x:c r="I18" s="78" t="str">
        <x:v>Not retrieved</x:v>
      </x:c>
      <x:c r="J18" s="78" t="str">
        <x:v>https://www.zillow.com/home-values/11102/destin-fl/</x:v>
      </x:c>
      <x:c r="K18" s="78"/>
    </x:row>
    <x:row r="19" ht="72" customHeight="1">
      <x:c r="A19" s="78" t="n">
        <x:v>13</x:v>
      </x:c>
      <x:c r="B19" s="78" t="str">
        <x:v>Fort Walton Beach</x:v>
      </x:c>
      <x:c r="C19" s="115"/>
      <x:c r="D19" s="78"/>
      <x:c r="E19" s="78" t="str">
        <x:v>Not retrieved for a verified comparable geography</x:v>
      </x:c>
      <x:c r="F19" s="78" t="str">
        <x:f>IF(C19="","Unverified",IF(C19&lt;300000,"Low",IF(C19&lt;=600000,"Medium","High")))</x:f>
        <x:v>Unverified</x:v>
      </x:c>
      <x:c r="G19" s="115"/>
      <x:c r="H19" s="78"/>
      <x:c r="I19" s="78" t="str">
        <x:v>Not retrieved</x:v>
      </x:c>
      <x:c r="J19" s="78"/>
      <x:c r="K19" s="78"/>
    </x:row>
    <x:row r="20" ht="72" customHeight="1">
      <x:c r="A20" s="78" t="n">
        <x:v>14</x:v>
      </x:c>
      <x:c r="B20" s="78" t="str">
        <x:v>Pensacola</x:v>
      </x:c>
      <x:c r="C20" s="115"/>
      <x:c r="D20" s="78"/>
      <x:c r="E20" s="78" t="str">
        <x:v>Not retrieved for a verified comparable geography</x:v>
      </x:c>
      <x:c r="F20" s="78" t="str">
        <x:f>IF(C20="","Unverified",IF(C20&lt;300000,"Low",IF(C20&lt;=600000,"Medium","High")))</x:f>
        <x:v>Unverified</x:v>
      </x:c>
      <x:c r="G20" s="115"/>
      <x:c r="H20" s="78"/>
      <x:c r="I20" s="78" t="str">
        <x:v>Not retrieved</x:v>
      </x:c>
      <x:c r="J20" s="78"/>
      <x:c r="K20" s="78"/>
    </x:row>
    <x:row r="21" ht="72" customHeight="1">
      <x:c r="A21" s="78" t="n">
        <x:v>15</x:v>
      </x:c>
      <x:c r="B21" s="78" t="str">
        <x:v>Kissimmee</x:v>
      </x:c>
      <x:c r="C21" s="115" t="n">
        <x:v>355971</x:v>
      </x:c>
      <x:c r="D21" s="78" t="str">
        <x:v>2026-08-31</x:v>
      </x:c>
      <x:c r="E21" s="78" t="str">
        <x:v>Zillow typical home value (ZHVI); city, not STR-ready property</x:v>
      </x:c>
      <x:c r="F21" s="78" t="str">
        <x:f>IF(C21="","Unverified",IF(C21&lt;300000,"Low",IF(C21&lt;=600000,"Medium","High")))</x:f>
        <x:v>Medium</x:v>
      </x:c>
      <x:c r="G21" s="115"/>
      <x:c r="H21" s="78"/>
      <x:c r="I21" s="78" t="str">
        <x:v>Not retrieved</x:v>
      </x:c>
      <x:c r="J21" s="78" t="str">
        <x:v>https://www.zillow.com/home-values/18847/kissimmee-fl/</x:v>
      </x:c>
      <x:c r="K21" s="78"/>
    </x:row>
    <x:row r="22" ht="72" customHeight="1">
      <x:c r="A22" s="78" t="n">
        <x:v>16</x:v>
      </x:c>
      <x:c r="B22" s="78" t="str">
        <x:v>Davenport</x:v>
      </x:c>
      <x:c r="C22" s="115" t="n">
        <x:v>338572</x:v>
      </x:c>
      <x:c r="D22" s="78" t="str">
        <x:v>2026-08-31</x:v>
      </x:c>
      <x:c r="E22" s="78" t="str">
        <x:v>Zillow typical home value (ZHVI); city, not STR-ready property</x:v>
      </x:c>
      <x:c r="F22" s="78" t="str">
        <x:f>IF(C22="","Unverified",IF(C22&lt;300000,"Low",IF(C22&lt;=600000,"Medium","High")))</x:f>
        <x:v>Medium</x:v>
      </x:c>
      <x:c r="G22" s="115" t="n">
        <x:v>1992</x:v>
      </x:c>
      <x:c r="H22" s="78" t="str">
        <x:v>2026-08-31</x:v>
      </x:c>
      <x:c r="I22" s="78" t="str">
        <x:v>Zillow Observed Rent Index (ZORI) on housing-market page; not lease quote</x:v>
      </x:c>
      <x:c r="J22" s="78" t="str">
        <x:v>https://www.zillow.com/home-values/24319/davenport-fl/</x:v>
      </x:c>
      <x:c r="K22" s="78" t="str">
        <x:v>https://www.zillow.com/home-values/24319/davenport-fl/</x:v>
      </x:c>
    </x:row>
    <x:row r="23" ht="72" customHeight="1">
      <x:c r="A23" s="78" t="n">
        <x:v>17</x:v>
      </x:c>
      <x:c r="B23" s="78" t="str">
        <x:v>St. Augustine</x:v>
      </x:c>
      <x:c r="C23" s="115"/>
      <x:c r="D23" s="78"/>
      <x:c r="E23" s="78" t="str">
        <x:v>Not retrieved for a verified comparable geography</x:v>
      </x:c>
      <x:c r="F23" s="78" t="str">
        <x:f>IF(C23="","Unverified",IF(C23&lt;300000,"Low",IF(C23&lt;=600000,"Medium","High")))</x:f>
        <x:v>Unverified</x:v>
      </x:c>
      <x:c r="G23" s="115"/>
      <x:c r="H23" s="78"/>
      <x:c r="I23" s="78" t="str">
        <x:v>Not retrieved</x:v>
      </x:c>
      <x:c r="J23" s="78"/>
      <x:c r="K23" s="78"/>
    </x:row>
    <x:row r="24" ht="72" customHeight="1">
      <x:c r="A24" s="78" t="n">
        <x:v>18</x:v>
      </x:c>
      <x:c r="B24" s="78" t="str">
        <x:v>Crystal River</x:v>
      </x:c>
      <x:c r="C24" s="115"/>
      <x:c r="D24" s="78"/>
      <x:c r="E24" s="78" t="str">
        <x:v>Not retrieved for a verified comparable geography</x:v>
      </x:c>
      <x:c r="F24" s="78" t="str">
        <x:f>IF(C24="","Unverified",IF(C24&lt;300000,"Low",IF(C24&lt;=600000,"Medium","High")))</x:f>
        <x:v>Unverified</x:v>
      </x:c>
      <x:c r="G24" s="115"/>
      <x:c r="H24" s="78"/>
      <x:c r="I24" s="78" t="str">
        <x:v>Not retrieved</x:v>
      </x:c>
      <x:c r="J24" s="78"/>
      <x:c r="K24" s="78"/>
    </x:row>
    <x:row r="25" ht="72" customHeight="1">
      <x:c r="A25" s="78" t="n">
        <x:v>19</x:v>
      </x:c>
      <x:c r="B25" s="78" t="str">
        <x:v>Cape Coral</x:v>
      </x:c>
      <x:c r="C25" s="115"/>
      <x:c r="D25" s="78"/>
      <x:c r="E25" s="78" t="str">
        <x:v>Not retrieved for a verified comparable geography</x:v>
      </x:c>
      <x:c r="F25" s="78" t="str">
        <x:f>IF(C25="","Unverified",IF(C25&lt;300000,"Low",IF(C25&lt;=600000,"Medium","High")))</x:f>
        <x:v>Unverified</x:v>
      </x:c>
      <x:c r="G25" s="115"/>
      <x:c r="H25" s="78"/>
      <x:c r="I25" s="78" t="str">
        <x:v>Not retrieved</x:v>
      </x:c>
      <x:c r="J25" s="78"/>
      <x:c r="K25" s="78"/>
    </x:row>
    <x:row r="26" ht="72" customHeight="1">
      <x:c r="A26" s="78" t="n">
        <x:v>20</x:v>
      </x:c>
      <x:c r="B26" s="78" t="str">
        <x:v>Fort Lauderdale</x:v>
      </x:c>
      <x:c r="C26" s="115"/>
      <x:c r="D26" s="78"/>
      <x:c r="E26" s="78" t="str">
        <x:v>Not retrieved for a verified comparable geography</x:v>
      </x:c>
      <x:c r="F26" s="78" t="str">
        <x:f>IF(C26="","Unverified",IF(C26&lt;300000,"Low",IF(C26&lt;=600000,"Medium","High")))</x:f>
        <x:v>Unverified</x:v>
      </x:c>
      <x:c r="G26" s="115"/>
      <x:c r="H26" s="78"/>
      <x:c r="I26" s="78" t="str">
        <x:v>Not retrieved</x:v>
      </x:c>
      <x:c r="J26" s="78"/>
      <x:c r="K26" s="78"/>
    </x:row>
    <x:row r="27" ht="72" customHeight="1">
      <x:c r="A27" s="78" t="n">
        <x:v>21</x:v>
      </x:c>
      <x:c r="B27" s="78" t="str">
        <x:v>Myrtle Beach</x:v>
      </x:c>
      <x:c r="C27" s="115"/>
      <x:c r="D27" s="78"/>
      <x:c r="E27" s="78" t="str">
        <x:v>Not retrieved for a verified comparable geography</x:v>
      </x:c>
      <x:c r="F27" s="78" t="str">
        <x:f>IF(C27="","Unverified",IF(C27&lt;300000,"Low",IF(C27&lt;=600000,"Medium","High")))</x:f>
        <x:v>Unverified</x:v>
      </x:c>
      <x:c r="G27" s="115"/>
      <x:c r="H27" s="78"/>
      <x:c r="I27" s="78" t="str">
        <x:v>Not retrieved</x:v>
      </x:c>
      <x:c r="J27" s="78"/>
      <x:c r="K27" s="78"/>
    </x:row>
    <x:row r="28" ht="72" customHeight="1">
      <x:c r="A28" s="78" t="n">
        <x:v>22</x:v>
      </x:c>
      <x:c r="B28" s="78" t="str">
        <x:v>North Myrtle Beach</x:v>
      </x:c>
      <x:c r="C28" s="115"/>
      <x:c r="D28" s="78"/>
      <x:c r="E28" s="78" t="str">
        <x:v>Not retrieved for a verified comparable geography</x:v>
      </x:c>
      <x:c r="F28" s="78" t="str">
        <x:f>IF(C28="","Unverified",IF(C28&lt;300000,"Low",IF(C28&lt;=600000,"Medium","High")))</x:f>
        <x:v>Unverified</x:v>
      </x:c>
      <x:c r="G28" s="115"/>
      <x:c r="H28" s="78"/>
      <x:c r="I28" s="78" t="str">
        <x:v>Not retrieved</x:v>
      </x:c>
      <x:c r="J28" s="78"/>
      <x:c r="K28" s="78"/>
    </x:row>
    <x:row r="29" ht="72" customHeight="1">
      <x:c r="A29" s="78" t="n">
        <x:v>23</x:v>
      </x:c>
      <x:c r="B29" s="78" t="str">
        <x:v>Hilton Head Island</x:v>
      </x:c>
      <x:c r="C29" s="115"/>
      <x:c r="D29" s="78"/>
      <x:c r="E29" s="78" t="str">
        <x:v>Not retrieved for a verified comparable geography</x:v>
      </x:c>
      <x:c r="F29" s="78" t="str">
        <x:f>IF(C29="","Unverified",IF(C29&lt;300000,"Low",IF(C29&lt;=600000,"Medium","High")))</x:f>
        <x:v>Unverified</x:v>
      </x:c>
      <x:c r="G29" s="115"/>
      <x:c r="H29" s="78"/>
      <x:c r="I29" s="78" t="str">
        <x:v>Not retrieved</x:v>
      </x:c>
      <x:c r="J29" s="78"/>
      <x:c r="K29" s="78"/>
    </x:row>
    <x:row r="30" ht="72" customHeight="1">
      <x:c r="A30" s="78" t="n">
        <x:v>24</x:v>
      </x:c>
      <x:c r="B30" s="78" t="str">
        <x:v>Charleston</x:v>
      </x:c>
      <x:c r="C30" s="115"/>
      <x:c r="D30" s="78"/>
      <x:c r="E30" s="78" t="str">
        <x:v>Not retrieved for a verified comparable geography</x:v>
      </x:c>
      <x:c r="F30" s="78" t="str">
        <x:f>IF(C30="","Unverified",IF(C30&lt;300000,"Low",IF(C30&lt;=600000,"Medium","High")))</x:f>
        <x:v>Unverified</x:v>
      </x:c>
      <x:c r="G30" s="115"/>
      <x:c r="H30" s="78"/>
      <x:c r="I30" s="78" t="str">
        <x:v>Not retrieved</x:v>
      </x:c>
      <x:c r="J30" s="78"/>
      <x:c r="K30" s="78"/>
    </x:row>
    <x:row r="31" ht="72" customHeight="1">
      <x:c r="A31" s="78" t="n">
        <x:v>25</x:v>
      </x:c>
      <x:c r="B31" s="78" t="str">
        <x:v>Wilmington</x:v>
      </x:c>
      <x:c r="C31" s="115"/>
      <x:c r="D31" s="78"/>
      <x:c r="E31" s="78" t="str">
        <x:v>Not retrieved for a verified comparable geography</x:v>
      </x:c>
      <x:c r="F31" s="78" t="str">
        <x:f>IF(C31="","Unverified",IF(C31&lt;300000,"Low",IF(C31&lt;=600000,"Medium","High")))</x:f>
        <x:v>Unverified</x:v>
      </x:c>
      <x:c r="G31" s="115"/>
      <x:c r="H31" s="78"/>
      <x:c r="I31" s="78" t="str">
        <x:v>Not retrieved</x:v>
      </x:c>
      <x:c r="J31" s="78"/>
      <x:c r="K31" s="78"/>
    </x:row>
    <x:row r="32" ht="72" customHeight="1">
      <x:c r="A32" s="78" t="n">
        <x:v>26</x:v>
      </x:c>
      <x:c r="B32" s="78" t="str">
        <x:v>Carolina Beach</x:v>
      </x:c>
      <x:c r="C32" s="115"/>
      <x:c r="D32" s="78"/>
      <x:c r="E32" s="78" t="str">
        <x:v>Not retrieved for a verified comparable geography</x:v>
      </x:c>
      <x:c r="F32" s="78" t="str">
        <x:f>IF(C32="","Unverified",IF(C32&lt;300000,"Low",IF(C32&lt;=600000,"Medium","High")))</x:f>
        <x:v>Unverified</x:v>
      </x:c>
      <x:c r="G32" s="115"/>
      <x:c r="H32" s="78"/>
      <x:c r="I32" s="78" t="str">
        <x:v>Not retrieved</x:v>
      </x:c>
      <x:c r="J32" s="78"/>
      <x:c r="K32" s="78"/>
    </x:row>
    <x:row r="33" ht="72" customHeight="1">
      <x:c r="A33" s="78" t="n">
        <x:v>27</x:v>
      </x:c>
      <x:c r="B33" s="78" t="str">
        <x:v>Oak Island</x:v>
      </x:c>
      <x:c r="C33" s="115"/>
      <x:c r="D33" s="78"/>
      <x:c r="E33" s="78" t="str">
        <x:v>Not retrieved for a verified comparable geography</x:v>
      </x:c>
      <x:c r="F33" s="78" t="str">
        <x:f>IF(C33="","Unverified",IF(C33&lt;300000,"Low",IF(C33&lt;=600000,"Medium","High")))</x:f>
        <x:v>Unverified</x:v>
      </x:c>
      <x:c r="G33" s="115"/>
      <x:c r="H33" s="78"/>
      <x:c r="I33" s="78" t="str">
        <x:v>Not retrieved</x:v>
      </x:c>
      <x:c r="J33" s="78"/>
      <x:c r="K33" s="78"/>
    </x:row>
    <x:row r="34" ht="72" customHeight="1">
      <x:c r="A34" s="78" t="n">
        <x:v>28</x:v>
      </x:c>
      <x:c r="B34" s="78" t="str">
        <x:v>Nags Head</x:v>
      </x:c>
      <x:c r="C34" s="115"/>
      <x:c r="D34" s="78"/>
      <x:c r="E34" s="78" t="str">
        <x:v>Not retrieved for a verified comparable geography</x:v>
      </x:c>
      <x:c r="F34" s="78" t="str">
        <x:f>IF(C34="","Unverified",IF(C34&lt;300000,"Low",IF(C34&lt;=600000,"Medium","High")))</x:f>
        <x:v>Unverified</x:v>
      </x:c>
      <x:c r="G34" s="115"/>
      <x:c r="H34" s="78"/>
      <x:c r="I34" s="78" t="str">
        <x:v>Not retrieved</x:v>
      </x:c>
      <x:c r="J34" s="78"/>
      <x:c r="K34" s="78"/>
    </x:row>
    <x:row r="35" ht="72" customHeight="1">
      <x:c r="A35" s="78" t="n">
        <x:v>29</x:v>
      </x:c>
      <x:c r="B35" s="78" t="str">
        <x:v>Kill Devil Hills</x:v>
      </x:c>
      <x:c r="C35" s="115"/>
      <x:c r="D35" s="78"/>
      <x:c r="E35" s="78" t="str">
        <x:v>Not retrieved for a verified comparable geography</x:v>
      </x:c>
      <x:c r="F35" s="78" t="str">
        <x:f>IF(C35="","Unverified",IF(C35&lt;300000,"Low",IF(C35&lt;=600000,"Medium","High")))</x:f>
        <x:v>Unverified</x:v>
      </x:c>
      <x:c r="G35" s="115"/>
      <x:c r="H35" s="78"/>
      <x:c r="I35" s="78" t="str">
        <x:v>Not retrieved</x:v>
      </x:c>
      <x:c r="J35" s="78"/>
      <x:c r="K35" s="78"/>
    </x:row>
    <x:row r="36" ht="72" customHeight="1">
      <x:c r="A36" s="78" t="n">
        <x:v>30</x:v>
      </x:c>
      <x:c r="B36" s="78" t="str">
        <x:v>Corolla</x:v>
      </x:c>
      <x:c r="C36" s="115"/>
      <x:c r="D36" s="78"/>
      <x:c r="E36" s="78" t="str">
        <x:v>Not retrieved for a verified comparable geography</x:v>
      </x:c>
      <x:c r="F36" s="78" t="str">
        <x:f>IF(C36="","Unverified",IF(C36&lt;300000,"Low",IF(C36&lt;=600000,"Medium","High")))</x:f>
        <x:v>Unverified</x:v>
      </x:c>
      <x:c r="G36" s="115"/>
      <x:c r="H36" s="78"/>
      <x:c r="I36" s="78" t="str">
        <x:v>Not retrieved</x:v>
      </x:c>
      <x:c r="J36" s="78"/>
      <x:c r="K36" s="78"/>
    </x:row>
    <x:row r="37" ht="72" customHeight="1">
      <x:c r="A37" s="78" t="n">
        <x:v>31</x:v>
      </x:c>
      <x:c r="B37" s="78" t="str">
        <x:v>Boone</x:v>
      </x:c>
      <x:c r="C37" s="115"/>
      <x:c r="D37" s="78"/>
      <x:c r="E37" s="78" t="str">
        <x:v>Not retrieved for a verified comparable geography</x:v>
      </x:c>
      <x:c r="F37" s="78" t="str">
        <x:f>IF(C37="","Unverified",IF(C37&lt;300000,"Low",IF(C37&lt;=600000,"Medium","High")))</x:f>
        <x:v>Unverified</x:v>
      </x:c>
      <x:c r="G37" s="115"/>
      <x:c r="H37" s="78"/>
      <x:c r="I37" s="78" t="str">
        <x:v>Not retrieved</x:v>
      </x:c>
      <x:c r="J37" s="78"/>
      <x:c r="K37" s="78"/>
    </x:row>
    <x:row r="38" ht="72" customHeight="1">
      <x:c r="A38" s="78" t="n">
        <x:v>32</x:v>
      </x:c>
      <x:c r="B38" s="78" t="str">
        <x:v>Banner Elk</x:v>
      </x:c>
      <x:c r="C38" s="115"/>
      <x:c r="D38" s="78"/>
      <x:c r="E38" s="78" t="str">
        <x:v>Not retrieved for a verified comparable geography</x:v>
      </x:c>
      <x:c r="F38" s="78" t="str">
        <x:f>IF(C38="","Unverified",IF(C38&lt;300000,"Low",IF(C38&lt;=600000,"Medium","High")))</x:f>
        <x:v>Unverified</x:v>
      </x:c>
      <x:c r="G38" s="115"/>
      <x:c r="H38" s="78"/>
      <x:c r="I38" s="78" t="str">
        <x:v>Not retrieved</x:v>
      </x:c>
      <x:c r="J38" s="78"/>
      <x:c r="K38" s="78"/>
    </x:row>
    <x:row r="39" ht="72" customHeight="1">
      <x:c r="A39" s="78" t="n">
        <x:v>33</x:v>
      </x:c>
      <x:c r="B39" s="78" t="str">
        <x:v>Bryson City</x:v>
      </x:c>
      <x:c r="C39" s="115"/>
      <x:c r="D39" s="78"/>
      <x:c r="E39" s="78" t="str">
        <x:v>Not retrieved for a verified comparable geography</x:v>
      </x:c>
      <x:c r="F39" s="78" t="str">
        <x:f>IF(C39="","Unverified",IF(C39&lt;300000,"Low",IF(C39&lt;=600000,"Medium","High")))</x:f>
        <x:v>Unverified</x:v>
      </x:c>
      <x:c r="G39" s="115"/>
      <x:c r="H39" s="78"/>
      <x:c r="I39" s="78" t="str">
        <x:v>Not retrieved</x:v>
      </x:c>
      <x:c r="J39" s="78"/>
      <x:c r="K39" s="78"/>
    </x:row>
    <x:row r="40" ht="72" customHeight="1">
      <x:c r="A40" s="78" t="n">
        <x:v>34</x:v>
      </x:c>
      <x:c r="B40" s="78" t="str">
        <x:v>Asheville</x:v>
      </x:c>
      <x:c r="C40" s="115"/>
      <x:c r="D40" s="78"/>
      <x:c r="E40" s="78" t="str">
        <x:v>Not retrieved for a verified comparable geography</x:v>
      </x:c>
      <x:c r="F40" s="78" t="str">
        <x:f>IF(C40="","Unverified",IF(C40&lt;300000,"Low",IF(C40&lt;=600000,"Medium","High")))</x:f>
        <x:v>Unverified</x:v>
      </x:c>
      <x:c r="G40" s="115"/>
      <x:c r="H40" s="78"/>
      <x:c r="I40" s="78" t="str">
        <x:v>Not retrieved</x:v>
      </x:c>
      <x:c r="J40" s="78"/>
      <x:c r="K40" s="78"/>
    </x:row>
    <x:row r="41" ht="72" customHeight="1">
      <x:c r="A41" s="78" t="n">
        <x:v>35</x:v>
      </x:c>
      <x:c r="B41" s="78" t="str">
        <x:v>Luray</x:v>
      </x:c>
      <x:c r="C41" s="115"/>
      <x:c r="D41" s="78"/>
      <x:c r="E41" s="78" t="str">
        <x:v>Not retrieved for a verified comparable geography</x:v>
      </x:c>
      <x:c r="F41" s="78" t="str">
        <x:f>IF(C41="","Unverified",IF(C41&lt;300000,"Low",IF(C41&lt;=600000,"Medium","High")))</x:f>
        <x:v>Unverified</x:v>
      </x:c>
      <x:c r="G41" s="115"/>
      <x:c r="H41" s="78"/>
      <x:c r="I41" s="78" t="str">
        <x:v>Not retrieved</x:v>
      </x:c>
      <x:c r="J41" s="78"/>
      <x:c r="K41" s="78"/>
    </x:row>
    <x:row r="42" ht="72" customHeight="1">
      <x:c r="A42" s="78" t="n">
        <x:v>36</x:v>
      </x:c>
      <x:c r="B42" s="78" t="str">
        <x:v>Front Royal</x:v>
      </x:c>
      <x:c r="C42" s="115"/>
      <x:c r="D42" s="78"/>
      <x:c r="E42" s="78" t="str">
        <x:v>Not retrieved for a verified comparable geography</x:v>
      </x:c>
      <x:c r="F42" s="78" t="str">
        <x:f>IF(C42="","Unverified",IF(C42&lt;300000,"Low",IF(C42&lt;=600000,"Medium","High")))</x:f>
        <x:v>Unverified</x:v>
      </x:c>
      <x:c r="G42" s="115"/>
      <x:c r="H42" s="78"/>
      <x:c r="I42" s="78" t="str">
        <x:v>Not retrieved</x:v>
      </x:c>
      <x:c r="J42" s="78"/>
      <x:c r="K42" s="78"/>
    </x:row>
    <x:row r="43" ht="72" customHeight="1">
      <x:c r="A43" s="78" t="n">
        <x:v>37</x:v>
      </x:c>
      <x:c r="B43" s="78" t="str">
        <x:v>Massanutten</x:v>
      </x:c>
      <x:c r="C43" s="115"/>
      <x:c r="D43" s="78"/>
      <x:c r="E43" s="78" t="str">
        <x:v>Not retrieved for a verified comparable geography</x:v>
      </x:c>
      <x:c r="F43" s="78" t="str">
        <x:f>IF(C43="","Unverified",IF(C43&lt;300000,"Low",IF(C43&lt;=600000,"Medium","High")))</x:f>
        <x:v>Unverified</x:v>
      </x:c>
      <x:c r="G43" s="115"/>
      <x:c r="H43" s="78"/>
      <x:c r="I43" s="78" t="str">
        <x:v>Not retrieved</x:v>
      </x:c>
      <x:c r="J43" s="78"/>
      <x:c r="K43" s="78"/>
    </x:row>
    <x:row r="44" ht="72" customHeight="1">
      <x:c r="A44" s="78" t="n">
        <x:v>38</x:v>
      </x:c>
      <x:c r="B44" s="78" t="str">
        <x:v>Stowe</x:v>
      </x:c>
      <x:c r="C44" s="115"/>
      <x:c r="D44" s="78"/>
      <x:c r="E44" s="78" t="str">
        <x:v>Not retrieved for a verified comparable geography</x:v>
      </x:c>
      <x:c r="F44" s="78" t="str">
        <x:f>IF(C44="","Unverified",IF(C44&lt;300000,"Low",IF(C44&lt;=600000,"Medium","High")))</x:f>
        <x:v>Unverified</x:v>
      </x:c>
      <x:c r="G44" s="115"/>
      <x:c r="H44" s="78"/>
      <x:c r="I44" s="78" t="str">
        <x:v>Not retrieved</x:v>
      </x:c>
      <x:c r="J44" s="78"/>
      <x:c r="K44" s="78"/>
    </x:row>
    <x:row r="45" ht="72" customHeight="1">
      <x:c r="A45" s="78" t="n">
        <x:v>39</x:v>
      </x:c>
      <x:c r="B45" s="78" t="str">
        <x:v>Tobyhanna</x:v>
      </x:c>
      <x:c r="C45" s="115"/>
      <x:c r="D45" s="78"/>
      <x:c r="E45" s="78" t="str">
        <x:v>Not retrieved for a verified comparable geography</x:v>
      </x:c>
      <x:c r="F45" s="78" t="str">
        <x:f>IF(C45="","Unverified",IF(C45&lt;300000,"Low",IF(C45&lt;=600000,"Medium","High")))</x:f>
        <x:v>Unverified</x:v>
      </x:c>
      <x:c r="G45" s="115"/>
      <x:c r="H45" s="78"/>
      <x:c r="I45" s="78" t="str">
        <x:v>Not retrieved</x:v>
      </x:c>
      <x:c r="J45" s="78"/>
      <x:c r="K45" s="78"/>
    </x:row>
    <x:row r="46" ht="72" customHeight="1">
      <x:c r="A46" s="78" t="n">
        <x:v>40</x:v>
      </x:c>
      <x:c r="B46" s="78" t="str">
        <x:v>Pocono Pines</x:v>
      </x:c>
      <x:c r="C46" s="115"/>
      <x:c r="D46" s="78"/>
      <x:c r="E46" s="78" t="str">
        <x:v>Not retrieved for a verified comparable geography</x:v>
      </x:c>
      <x:c r="F46" s="78" t="str">
        <x:f>IF(C46="","Unverified",IF(C46&lt;300000,"Low",IF(C46&lt;=600000,"Medium","High")))</x:f>
        <x:v>Unverified</x:v>
      </x:c>
      <x:c r="G46" s="115"/>
      <x:c r="H46" s="78"/>
      <x:c r="I46" s="78" t="str">
        <x:v>Not retrieved</x:v>
      </x:c>
      <x:c r="J46" s="78"/>
      <x:c r="K46" s="78"/>
    </x:row>
    <x:row r="47" ht="72" customHeight="1">
      <x:c r="A47" s="78" t="n">
        <x:v>41</x:v>
      </x:c>
      <x:c r="B47" s="78" t="str">
        <x:v>Jim Thorpe</x:v>
      </x:c>
      <x:c r="C47" s="115"/>
      <x:c r="D47" s="78"/>
      <x:c r="E47" s="78" t="str">
        <x:v>Not retrieved for a verified comparable geography</x:v>
      </x:c>
      <x:c r="F47" s="78" t="str">
        <x:f>IF(C47="","Unverified",IF(C47&lt;300000,"Low",IF(C47&lt;=600000,"Medium","High")))</x:f>
        <x:v>Unverified</x:v>
      </x:c>
      <x:c r="G47" s="115"/>
      <x:c r="H47" s="78"/>
      <x:c r="I47" s="78" t="str">
        <x:v>Not retrieved</x:v>
      </x:c>
      <x:c r="J47" s="78"/>
      <x:c r="K47" s="78"/>
    </x:row>
    <x:row r="48" ht="72" customHeight="1">
      <x:c r="A48" s="78" t="n">
        <x:v>42</x:v>
      </x:c>
      <x:c r="B48" s="78" t="str">
        <x:v>Lake Harmony</x:v>
      </x:c>
      <x:c r="C48" s="115"/>
      <x:c r="D48" s="78"/>
      <x:c r="E48" s="78" t="str">
        <x:v>Not retrieved for a verified comparable geography</x:v>
      </x:c>
      <x:c r="F48" s="78" t="str">
        <x:f>IF(C48="","Unverified",IF(C48&lt;300000,"Low",IF(C48&lt;=600000,"Medium","High")))</x:f>
        <x:v>Unverified</x:v>
      </x:c>
      <x:c r="G48" s="115"/>
      <x:c r="H48" s="78"/>
      <x:c r="I48" s="78" t="str">
        <x:v>Not retrieved</x:v>
      </x:c>
      <x:c r="J48" s="78"/>
      <x:c r="K48" s="78"/>
    </x:row>
    <x:row r="49" ht="72" customHeight="1">
      <x:c r="A49" s="78" t="n">
        <x:v>43</x:v>
      </x:c>
      <x:c r="B49" s="78" t="str">
        <x:v>Lancaster</x:v>
      </x:c>
      <x:c r="C49" s="115"/>
      <x:c r="D49" s="78"/>
      <x:c r="E49" s="78" t="str">
        <x:v>Not retrieved for a verified comparable geography</x:v>
      </x:c>
      <x:c r="F49" s="78" t="str">
        <x:f>IF(C49="","Unverified",IF(C49&lt;300000,"Low",IF(C49&lt;=600000,"Medium","High")))</x:f>
        <x:v>Unverified</x:v>
      </x:c>
      <x:c r="G49" s="115"/>
      <x:c r="H49" s="78"/>
      <x:c r="I49" s="78" t="str">
        <x:v>Not retrieved</x:v>
      </x:c>
      <x:c r="J49" s="78"/>
      <x:c r="K49" s="78"/>
    </x:row>
    <x:row r="50" ht="72" customHeight="1">
      <x:c r="A50" s="78" t="n">
        <x:v>44</x:v>
      </x:c>
      <x:c r="B50" s="78" t="str">
        <x:v>Gettysburg</x:v>
      </x:c>
      <x:c r="C50" s="115"/>
      <x:c r="D50" s="78"/>
      <x:c r="E50" s="78" t="str">
        <x:v>Not retrieved for a verified comparable geography</x:v>
      </x:c>
      <x:c r="F50" s="78" t="str">
        <x:f>IF(C50="","Unverified",IF(C50&lt;300000,"Low",IF(C50&lt;=600000,"Medium","High")))</x:f>
        <x:v>Unverified</x:v>
      </x:c>
      <x:c r="G50" s="115"/>
      <x:c r="H50" s="78"/>
      <x:c r="I50" s="78" t="str">
        <x:v>Not retrieved</x:v>
      </x:c>
      <x:c r="J50" s="78"/>
      <x:c r="K50" s="78"/>
    </x:row>
    <x:row r="51" ht="72" customHeight="1">
      <x:c r="A51" s="78" t="n">
        <x:v>45</x:v>
      </x:c>
      <x:c r="B51" s="78" t="str">
        <x:v>Logan</x:v>
      </x:c>
      <x:c r="C51" s="115"/>
      <x:c r="D51" s="78"/>
      <x:c r="E51" s="78" t="str">
        <x:v>Not retrieved for a verified comparable geography</x:v>
      </x:c>
      <x:c r="F51" s="78" t="str">
        <x:f>IF(C51="","Unverified",IF(C51&lt;300000,"Low",IF(C51&lt;=600000,"Medium","High")))</x:f>
        <x:v>Unverified</x:v>
      </x:c>
      <x:c r="G51" s="115"/>
      <x:c r="H51" s="78"/>
      <x:c r="I51" s="78" t="str">
        <x:v>Not retrieved</x:v>
      </x:c>
      <x:c r="J51" s="78"/>
      <x:c r="K51" s="78"/>
    </x:row>
    <x:row r="52" ht="72" customHeight="1">
      <x:c r="A52" s="78" t="n">
        <x:v>46</x:v>
      </x:c>
      <x:c r="B52" s="78" t="str">
        <x:v>Sandusky</x:v>
      </x:c>
      <x:c r="C52" s="115"/>
      <x:c r="D52" s="78"/>
      <x:c r="E52" s="78" t="str">
        <x:v>Not retrieved for a verified comparable geography</x:v>
      </x:c>
      <x:c r="F52" s="78" t="str">
        <x:f>IF(C52="","Unverified",IF(C52&lt;300000,"Low",IF(C52&lt;=600000,"Medium","High")))</x:f>
        <x:v>Unverified</x:v>
      </x:c>
      <x:c r="G52" s="115"/>
      <x:c r="H52" s="78"/>
      <x:c r="I52" s="78" t="str">
        <x:v>Not retrieved</x:v>
      </x:c>
      <x:c r="J52" s="78"/>
      <x:c r="K52" s="78"/>
    </x:row>
    <x:row r="53" ht="72" customHeight="1">
      <x:c r="A53" s="78" t="n">
        <x:v>47</x:v>
      </x:c>
      <x:c r="B53" s="78" t="str">
        <x:v>Traverse City</x:v>
      </x:c>
      <x:c r="C53" s="115"/>
      <x:c r="D53" s="78"/>
      <x:c r="E53" s="78" t="str">
        <x:v>Not retrieved for a verified comparable geography</x:v>
      </x:c>
      <x:c r="F53" s="78" t="str">
        <x:f>IF(C53="","Unverified",IF(C53&lt;300000,"Low",IF(C53&lt;=600000,"Medium","High")))</x:f>
        <x:v>Unverified</x:v>
      </x:c>
      <x:c r="G53" s="115"/>
      <x:c r="H53" s="78"/>
      <x:c r="I53" s="78" t="str">
        <x:v>Not retrieved</x:v>
      </x:c>
      <x:c r="J53" s="78"/>
      <x:c r="K53" s="78"/>
    </x:row>
    <x:row r="54" ht="72" customHeight="1">
      <x:c r="A54" s="78" t="n">
        <x:v>48</x:v>
      </x:c>
      <x:c r="B54" s="78" t="str">
        <x:v>New Buffalo</x:v>
      </x:c>
      <x:c r="C54" s="115"/>
      <x:c r="D54" s="78"/>
      <x:c r="E54" s="78" t="str">
        <x:v>Not retrieved for a verified comparable geography</x:v>
      </x:c>
      <x:c r="F54" s="78" t="str">
        <x:f>IF(C54="","Unverified",IF(C54&lt;300000,"Low",IF(C54&lt;=600000,"Medium","High")))</x:f>
        <x:v>Unverified</x:v>
      </x:c>
      <x:c r="G54" s="115"/>
      <x:c r="H54" s="78"/>
      <x:c r="I54" s="78" t="str">
        <x:v>Not retrieved</x:v>
      </x:c>
      <x:c r="J54" s="78"/>
      <x:c r="K54" s="78"/>
    </x:row>
    <x:row r="55" ht="72" customHeight="1">
      <x:c r="A55" s="78" t="n">
        <x:v>49</x:v>
      </x:c>
      <x:c r="B55" s="78" t="str">
        <x:v>Wisconsin Dells</x:v>
      </x:c>
      <x:c r="C55" s="115"/>
      <x:c r="D55" s="78"/>
      <x:c r="E55" s="78" t="str">
        <x:v>Not retrieved for a verified comparable geography</x:v>
      </x:c>
      <x:c r="F55" s="78" t="str">
        <x:f>IF(C55="","Unverified",IF(C55&lt;300000,"Low",IF(C55&lt;=600000,"Medium","High")))</x:f>
        <x:v>Unverified</x:v>
      </x:c>
      <x:c r="G55" s="115"/>
      <x:c r="H55" s="78"/>
      <x:c r="I55" s="78" t="str">
        <x:v>Not retrieved</x:v>
      </x:c>
      <x:c r="J55" s="78"/>
      <x:c r="K55" s="78"/>
    </x:row>
    <x:row r="56" ht="72" customHeight="1">
      <x:c r="A56" s="78" t="n">
        <x:v>50</x:v>
      </x:c>
      <x:c r="B56" s="78" t="str">
        <x:v>Lake Geneva</x:v>
      </x:c>
      <x:c r="C56" s="115"/>
      <x:c r="D56" s="78"/>
      <x:c r="E56" s="78" t="str">
        <x:v>Not retrieved for a verified comparable geography</x:v>
      </x:c>
      <x:c r="F56" s="78" t="str">
        <x:f>IF(C56="","Unverified",IF(C56&lt;300000,"Low",IF(C56&lt;=600000,"Medium","High")))</x:f>
        <x:v>Unverified</x:v>
      </x:c>
      <x:c r="G56" s="115"/>
      <x:c r="H56" s="78"/>
      <x:c r="I56" s="78" t="str">
        <x:v>Not retrieved</x:v>
      </x:c>
      <x:c r="J56" s="78"/>
      <x:c r="K56" s="78"/>
    </x:row>
    <x:row r="57" ht="72" customHeight="1">
      <x:c r="A57" s="78" t="n">
        <x:v>51</x:v>
      </x:c>
      <x:c r="B57" s="78" t="str">
        <x:v>Osage Beach</x:v>
      </x:c>
      <x:c r="C57" s="115"/>
      <x:c r="D57" s="78"/>
      <x:c r="E57" s="78" t="str">
        <x:v>Not retrieved for a verified comparable geography</x:v>
      </x:c>
      <x:c r="F57" s="78" t="str">
        <x:f>IF(C57="","Unverified",IF(C57&lt;300000,"Low",IF(C57&lt;=600000,"Medium","High")))</x:f>
        <x:v>Unverified</x:v>
      </x:c>
      <x:c r="G57" s="115"/>
      <x:c r="H57" s="78"/>
      <x:c r="I57" s="78" t="str">
        <x:v>Not retrieved</x:v>
      </x:c>
      <x:c r="J57" s="78"/>
      <x:c r="K57" s="78"/>
    </x:row>
    <x:row r="58" ht="72" customHeight="1">
      <x:c r="A58" s="78" t="n">
        <x:v>52</x:v>
      </x:c>
      <x:c r="B58" s="78" t="str">
        <x:v>Eureka Springs</x:v>
      </x:c>
      <x:c r="C58" s="115"/>
      <x:c r="D58" s="78"/>
      <x:c r="E58" s="78" t="str">
        <x:v>Not retrieved for a verified comparable geography</x:v>
      </x:c>
      <x:c r="F58" s="78" t="str">
        <x:f>IF(C58="","Unverified",IF(C58&lt;300000,"Low",IF(C58&lt;=600000,"Medium","High")))</x:f>
        <x:v>Unverified</x:v>
      </x:c>
      <x:c r="G58" s="115"/>
      <x:c r="H58" s="78"/>
      <x:c r="I58" s="78" t="str">
        <x:v>Not retrieved</x:v>
      </x:c>
      <x:c r="J58" s="78"/>
      <x:c r="K58" s="78"/>
    </x:row>
    <x:row r="59" ht="72" customHeight="1">
      <x:c r="A59" s="78" t="n">
        <x:v>53</x:v>
      </x:c>
      <x:c r="B59" s="78" t="str">
        <x:v>Fredericksburg</x:v>
      </x:c>
      <x:c r="C59" s="115"/>
      <x:c r="D59" s="78"/>
      <x:c r="E59" s="78" t="str">
        <x:v>Not retrieved for a verified comparable geography</x:v>
      </x:c>
      <x:c r="F59" s="78" t="str">
        <x:f>IF(C59="","Unverified",IF(C59&lt;300000,"Low",IF(C59&lt;=600000,"Medium","High")))</x:f>
        <x:v>Unverified</x:v>
      </x:c>
      <x:c r="G59" s="115"/>
      <x:c r="H59" s="78"/>
      <x:c r="I59" s="78" t="str">
        <x:v>Not retrieved</x:v>
      </x:c>
      <x:c r="J59" s="78"/>
      <x:c r="K59" s="78"/>
    </x:row>
    <x:row r="60" ht="72" customHeight="1">
      <x:c r="A60" s="78" t="n">
        <x:v>54</x:v>
      </x:c>
      <x:c r="B60" s="78" t="str">
        <x:v>New Braunfels</x:v>
      </x:c>
      <x:c r="C60" s="115"/>
      <x:c r="D60" s="78"/>
      <x:c r="E60" s="78" t="str">
        <x:v>Not retrieved for a verified comparable geography</x:v>
      </x:c>
      <x:c r="F60" s="78" t="str">
        <x:f>IF(C60="","Unverified",IF(C60&lt;300000,"Low",IF(C60&lt;=600000,"Medium","High")))</x:f>
        <x:v>Unverified</x:v>
      </x:c>
      <x:c r="G60" s="115"/>
      <x:c r="H60" s="78"/>
      <x:c r="I60" s="78" t="str">
        <x:v>Not retrieved</x:v>
      </x:c>
      <x:c r="J60" s="78"/>
      <x:c r="K60" s="78"/>
    </x:row>
    <x:row r="61" ht="72" customHeight="1">
      <x:c r="A61" s="78" t="n">
        <x:v>55</x:v>
      </x:c>
      <x:c r="B61" s="78" t="str">
        <x:v>Galveston</x:v>
      </x:c>
      <x:c r="C61" s="115"/>
      <x:c r="D61" s="78"/>
      <x:c r="E61" s="78" t="str">
        <x:v>Not retrieved for a verified comparable geography</x:v>
      </x:c>
      <x:c r="F61" s="78" t="str">
        <x:f>IF(C61="","Unverified",IF(C61&lt;300000,"Low",IF(C61&lt;=600000,"Medium","High")))</x:f>
        <x:v>Unverified</x:v>
      </x:c>
      <x:c r="G61" s="115"/>
      <x:c r="H61" s="78"/>
      <x:c r="I61" s="78" t="str">
        <x:v>Not retrieved</x:v>
      </x:c>
      <x:c r="J61" s="78"/>
      <x:c r="K61" s="78"/>
    </x:row>
    <x:row r="62" ht="72" customHeight="1">
      <x:c r="A62" s="78" t="n">
        <x:v>56</x:v>
      </x:c>
      <x:c r="B62" s="78" t="str">
        <x:v>Port Aransas</x:v>
      </x:c>
      <x:c r="C62" s="115"/>
      <x:c r="D62" s="78"/>
      <x:c r="E62" s="78" t="str">
        <x:v>Not retrieved for a verified comparable geography</x:v>
      </x:c>
      <x:c r="F62" s="78" t="str">
        <x:f>IF(C62="","Unverified",IF(C62&lt;300000,"Low",IF(C62&lt;=600000,"Medium","High")))</x:f>
        <x:v>Unverified</x:v>
      </x:c>
      <x:c r="G62" s="115"/>
      <x:c r="H62" s="78"/>
      <x:c r="I62" s="78" t="str">
        <x:v>Not retrieved</x:v>
      </x:c>
      <x:c r="J62" s="78"/>
      <x:c r="K62" s="78"/>
    </x:row>
    <x:row r="63" ht="72" customHeight="1">
      <x:c r="A63" s="78" t="n">
        <x:v>57</x:v>
      </x:c>
      <x:c r="B63" s="78" t="str">
        <x:v>Waco</x:v>
      </x:c>
      <x:c r="C63" s="115"/>
      <x:c r="D63" s="78"/>
      <x:c r="E63" s="78" t="str">
        <x:v>Not retrieved for a verified comparable geography</x:v>
      </x:c>
      <x:c r="F63" s="78" t="str">
        <x:f>IF(C63="","Unverified",IF(C63&lt;300000,"Low",IF(C63&lt;=600000,"Medium","High")))</x:f>
        <x:v>Unverified</x:v>
      </x:c>
      <x:c r="G63" s="115"/>
      <x:c r="H63" s="78"/>
      <x:c r="I63" s="78" t="str">
        <x:v>Not retrieved</x:v>
      </x:c>
      <x:c r="J63" s="78"/>
      <x:c r="K63" s="78"/>
    </x:row>
    <x:row r="64" ht="72" customHeight="1">
      <x:c r="A64" s="78" t="n">
        <x:v>58</x:v>
      </x:c>
      <x:c r="B64" s="78" t="str">
        <x:v>San Antonio</x:v>
      </x:c>
      <x:c r="C64" s="115" t="n">
        <x:v>249689</x:v>
      </x:c>
      <x:c r="D64" s="78" t="str">
        <x:v>2026-07-31</x:v>
      </x:c>
      <x:c r="E64" s="78" t="str">
        <x:v>Zillow typical home value (ZHVI); city, not STR-ready property</x:v>
      </x:c>
      <x:c r="F64" s="78" t="str">
        <x:f>IF(C64="","Unverified",IF(C64&lt;300000,"Low",IF(C64&lt;=600000,"Medium","High")))</x:f>
        <x:v>Low</x:v>
      </x:c>
      <x:c r="G64" s="115" t="n">
        <x:v>1600</x:v>
      </x:c>
      <x:c r="H64" s="78" t="str">
        <x:v>2026-08-11</x:v>
      </x:c>
      <x:c r="I64" s="78" t="str">
        <x:v>Zillow Rentals average asking rent; all bedrooms/all property types</x:v>
      </x:c>
      <x:c r="J64" s="78" t="str">
        <x:v>https://www.zillow.com/home-values/6915/san-antonio-tx/</x:v>
      </x:c>
      <x:c r="K64" s="78" t="str">
        <x:v>https://www.zillow.com/rental-manager/market-trends/san-antonio-tx/</x:v>
      </x:c>
    </x:row>
    <x:row r="65" ht="72" customHeight="1">
      <x:c r="A65" s="78" t="n">
        <x:v>59</x:v>
      </x:c>
      <x:c r="B65" s="78" t="str">
        <x:v>Houston</x:v>
      </x:c>
      <x:c r="C65" s="115"/>
      <x:c r="D65" s="78"/>
      <x:c r="E65" s="78" t="str">
        <x:v>Not retrieved for a verified comparable geography</x:v>
      </x:c>
      <x:c r="F65" s="78" t="str">
        <x:f>IF(C65="","Unverified",IF(C65&lt;300000,"Low",IF(C65&lt;=600000,"Medium","High")))</x:f>
        <x:v>Unverified</x:v>
      </x:c>
      <x:c r="G65" s="115"/>
      <x:c r="H65" s="78"/>
      <x:c r="I65" s="78" t="str">
        <x:v>Not retrieved</x:v>
      </x:c>
      <x:c r="J65" s="78"/>
      <x:c r="K65" s="78"/>
    </x:row>
    <x:row r="66" ht="72" customHeight="1">
      <x:c r="A66" s="78" t="n">
        <x:v>60</x:v>
      </x:c>
      <x:c r="B66" s="78" t="str">
        <x:v>Abilene</x:v>
      </x:c>
      <x:c r="C66" s="115"/>
      <x:c r="D66" s="78"/>
      <x:c r="E66" s="78" t="str">
        <x:v>Not retrieved for a verified comparable geography</x:v>
      </x:c>
      <x:c r="F66" s="78" t="str">
        <x:f>IF(C66="","Unverified",IF(C66&lt;300000,"Low",IF(C66&lt;=600000,"Medium","High")))</x:f>
        <x:v>Unverified</x:v>
      </x:c>
      <x:c r="G66" s="115"/>
      <x:c r="H66" s="78"/>
      <x:c r="I66" s="78" t="str">
        <x:v>Not retrieved</x:v>
      </x:c>
      <x:c r="J66" s="78"/>
      <x:c r="K66" s="78"/>
    </x:row>
    <x:row r="67" ht="72" customHeight="1">
      <x:c r="A67" s="78" t="n">
        <x:v>61</x:v>
      </x:c>
      <x:c r="B67" s="78" t="str">
        <x:v>Port Arthur</x:v>
      </x:c>
      <x:c r="C67" s="115"/>
      <x:c r="D67" s="78"/>
      <x:c r="E67" s="78" t="str">
        <x:v>Not retrieved for a verified comparable geography</x:v>
      </x:c>
      <x:c r="F67" s="78" t="str">
        <x:f>IF(C67="","Unverified",IF(C67&lt;300000,"Low",IF(C67&lt;=600000,"Medium","High")))</x:f>
        <x:v>Unverified</x:v>
      </x:c>
      <x:c r="G67" s="115"/>
      <x:c r="H67" s="78"/>
      <x:c r="I67" s="78" t="str">
        <x:v>Not retrieved</x:v>
      </x:c>
      <x:c r="J67" s="78"/>
      <x:c r="K67" s="78"/>
    </x:row>
    <x:row r="68" ht="72" customHeight="1">
      <x:c r="A68" s="78" t="n">
        <x:v>62</x:v>
      </x:c>
      <x:c r="B68" s="78" t="str">
        <x:v>Oklahoma City</x:v>
      </x:c>
      <x:c r="C68" s="115"/>
      <x:c r="D68" s="78"/>
      <x:c r="E68" s="78" t="str">
        <x:v>Not retrieved for a verified comparable geography</x:v>
      </x:c>
      <x:c r="F68" s="78" t="str">
        <x:f>IF(C68="","Unverified",IF(C68&lt;300000,"Low",IF(C68&lt;=600000,"Medium","High")))</x:f>
        <x:v>Unverified</x:v>
      </x:c>
      <x:c r="G68" s="115"/>
      <x:c r="H68" s="78"/>
      <x:c r="I68" s="78" t="str">
        <x:v>Not retrieved</x:v>
      </x:c>
      <x:c r="J68" s="78"/>
      <x:c r="K68" s="78"/>
    </x:row>
    <x:row r="69" ht="72" customHeight="1">
      <x:c r="A69" s="78" t="n">
        <x:v>63</x:v>
      </x:c>
      <x:c r="B69" s="78" t="str">
        <x:v>Tulsa</x:v>
      </x:c>
      <x:c r="C69" s="115" t="n">
        <x:v>220221</x:v>
      </x:c>
      <x:c r="D69" s="78" t="str">
        <x:v>2026-08-31</x:v>
      </x:c>
      <x:c r="E69" s="78" t="str">
        <x:v>Zillow typical home value (ZHVI); city, not STR-ready property</x:v>
      </x:c>
      <x:c r="F69" s="78" t="str">
        <x:f>IF(C69="","Unverified",IF(C69&lt;300000,"Low",IF(C69&lt;=600000,"Medium","High")))</x:f>
        <x:v>Low</x:v>
      </x:c>
      <x:c r="G69" s="115" t="n">
        <x:v>1345</x:v>
      </x:c>
      <x:c r="H69" s="78" t="str">
        <x:v>2026-06-05</x:v>
      </x:c>
      <x:c r="I69" s="78" t="str">
        <x:v>Zillow Rentals average asking rent; all bedrooms/all property types</x:v>
      </x:c>
      <x:c r="J69" s="78" t="str">
        <x:v>https://www.zillow.com/home-values/20859/tulsa-ok/</x:v>
      </x:c>
      <x:c r="K69" s="78" t="str">
        <x:v>https://www.zillow.com/rental-manager/market-trends/tulsa-ok/</x:v>
      </x:c>
    </x:row>
    <x:row r="70" ht="72" customHeight="1">
      <x:c r="A70" s="78" t="n">
        <x:v>64</x:v>
      </x:c>
      <x:c r="B70" s="78" t="str">
        <x:v>Bentonville</x:v>
      </x:c>
      <x:c r="C70" s="115"/>
      <x:c r="D70" s="78"/>
      <x:c r="E70" s="78" t="str">
        <x:v>Not retrieved for a verified comparable geography</x:v>
      </x:c>
      <x:c r="F70" s="78" t="str">
        <x:f>IF(C70="","Unverified",IF(C70&lt;300000,"Low",IF(C70&lt;=600000,"Medium","High")))</x:f>
        <x:v>Unverified</x:v>
      </x:c>
      <x:c r="G70" s="115"/>
      <x:c r="H70" s="78"/>
      <x:c r="I70" s="78" t="str">
        <x:v>Not retrieved</x:v>
      </x:c>
      <x:c r="J70" s="78"/>
      <x:c r="K70" s="78"/>
    </x:row>
    <x:row r="71" ht="72" customHeight="1">
      <x:c r="A71" s="78" t="n">
        <x:v>65</x:v>
      </x:c>
      <x:c r="B71" s="78" t="str">
        <x:v>Fayetteville</x:v>
      </x:c>
      <x:c r="C71" s="115"/>
      <x:c r="D71" s="78"/>
      <x:c r="E71" s="78" t="str">
        <x:v>Not retrieved for a verified comparable geography</x:v>
      </x:c>
      <x:c r="F71" s="78" t="str">
        <x:f>IF(C71="","Unverified",IF(C71&lt;300000,"Low",IF(C71&lt;=600000,"Medium","High")))</x:f>
        <x:v>Unverified</x:v>
      </x:c>
      <x:c r="G71" s="115"/>
      <x:c r="H71" s="78"/>
      <x:c r="I71" s="78" t="str">
        <x:v>Not retrieved</x:v>
      </x:c>
      <x:c r="J71" s="78"/>
      <x:c r="K71" s="78"/>
    </x:row>
    <x:row r="72" ht="72" customHeight="1">
      <x:c r="A72" s="78" t="n">
        <x:v>66</x:v>
      </x:c>
      <x:c r="B72" s="78" t="str">
        <x:v>Huntsville</x:v>
      </x:c>
      <x:c r="C72" s="115"/>
      <x:c r="D72" s="78"/>
      <x:c r="E72" s="78" t="str">
        <x:v>Not retrieved for a verified comparable geography</x:v>
      </x:c>
      <x:c r="F72" s="78" t="str">
        <x:f>IF(C72="","Unverified",IF(C72&lt;300000,"Low",IF(C72&lt;=600000,"Medium","High")))</x:f>
        <x:v>Unverified</x:v>
      </x:c>
      <x:c r="G72" s="115" t="n">
        <x:v>1395</x:v>
      </x:c>
      <x:c r="H72" s="78" t="str">
        <x:v>2026-02-10</x:v>
      </x:c>
      <x:c r="I72" s="78" t="str">
        <x:v>Zillow Rentals average asking rent; all bedrooms/all property types</x:v>
      </x:c>
      <x:c r="J72" s="78"/>
      <x:c r="K72" s="78" t="str">
        <x:v>https://www.zillow.com/rental-manager/market-trends/huntsville-al/</x:v>
      </x:c>
    </x:row>
    <x:row r="73" ht="72" customHeight="1">
      <x:c r="A73" s="78" t="n">
        <x:v>67</x:v>
      </x:c>
      <x:c r="B73" s="78" t="str">
        <x:v>Birmingham</x:v>
      </x:c>
      <x:c r="C73" s="115" t="n">
        <x:v>136876</x:v>
      </x:c>
      <x:c r="D73" s="78" t="str">
        <x:v>2026-08-31</x:v>
      </x:c>
      <x:c r="E73" s="78" t="str">
        <x:v>Zillow typical home value (ZHVI); city, not STR-ready property</x:v>
      </x:c>
      <x:c r="F73" s="78" t="str">
        <x:f>IF(C73="","Unverified",IF(C73&lt;300000,"Low",IF(C73&lt;=600000,"Medium","High")))</x:f>
        <x:v>Low</x:v>
      </x:c>
      <x:c r="G73" s="115" t="n">
        <x:v>1155</x:v>
      </x:c>
      <x:c r="H73" s="78" t="str">
        <x:v>2026-08-29</x:v>
      </x:c>
      <x:c r="I73" s="78" t="str">
        <x:v>Zillow Rentals average asking rent; all bedrooms/all property types</x:v>
      </x:c>
      <x:c r="J73" s="78" t="str">
        <x:v>https://www.zillow.com/home-values/10417/birmingham-al/</x:v>
      </x:c>
      <x:c r="K73" s="78" t="str">
        <x:v>https://www.zillow.com/rental-manager/market-trends/birmingham-al/</x:v>
      </x:c>
    </x:row>
    <x:row r="74" ht="72" customHeight="1">
      <x:c r="A74" s="78" t="n">
        <x:v>68</x:v>
      </x:c>
      <x:c r="B74" s="78" t="str">
        <x:v>Montgomery</x:v>
      </x:c>
      <x:c r="C74" s="115"/>
      <x:c r="D74" s="78"/>
      <x:c r="E74" s="78" t="str">
        <x:v>Not retrieved for a verified comparable geography</x:v>
      </x:c>
      <x:c r="F74" s="78" t="str">
        <x:f>IF(C74="","Unverified",IF(C74&lt;300000,"Low",IF(C74&lt;=600000,"Medium","High")))</x:f>
        <x:v>Unverified</x:v>
      </x:c>
      <x:c r="G74" s="115" t="n">
        <x:v>1280</x:v>
      </x:c>
      <x:c r="H74" s="78" t="str">
        <x:v>2026-06-15</x:v>
      </x:c>
      <x:c r="I74" s="78" t="str">
        <x:v>Zillow Rentals average asking rent; all bedrooms/all property types</x:v>
      </x:c>
      <x:c r="J74" s="78"/>
      <x:c r="K74" s="78" t="str">
        <x:v>https://www.zillow.com/rental-manager/market-trends/montgomery-al/</x:v>
      </x:c>
    </x:row>
    <x:row r="75" ht="72" customHeight="1">
      <x:c r="A75" s="78" t="n">
        <x:v>69</x:v>
      </x:c>
      <x:c r="B75" s="78" t="str">
        <x:v>Louisville</x:v>
      </x:c>
      <x:c r="C75" s="115"/>
      <x:c r="D75" s="78"/>
      <x:c r="E75" s="78" t="str">
        <x:v>Not retrieved for a verified comparable geography</x:v>
      </x:c>
      <x:c r="F75" s="78" t="str">
        <x:f>IF(C75="","Unverified",IF(C75&lt;300000,"Low",IF(C75&lt;=600000,"Medium","High")))</x:f>
        <x:v>Unverified</x:v>
      </x:c>
      <x:c r="G75" s="115" t="n">
        <x:v>1250</x:v>
      </x:c>
      <x:c r="H75" s="78" t="str">
        <x:v>2026-03-16</x:v>
      </x:c>
      <x:c r="I75" s="78" t="str">
        <x:v>Zillow Rentals average asking rent; all bedrooms/all property types</x:v>
      </x:c>
      <x:c r="J75" s="78"/>
      <x:c r="K75" s="78" t="str">
        <x:v>https://www.zillow.com/rental-manager/market-trends/louisville-ky/</x:v>
      </x:c>
    </x:row>
    <x:row r="76" ht="72" customHeight="1">
      <x:c r="A76" s="78" t="n">
        <x:v>70</x:v>
      </x:c>
      <x:c r="B76" s="78" t="str">
        <x:v>Lexington</x:v>
      </x:c>
      <x:c r="C76" s="115"/>
      <x:c r="D76" s="78"/>
      <x:c r="E76" s="78" t="str">
        <x:v>Not retrieved for a verified comparable geography</x:v>
      </x:c>
      <x:c r="F76" s="78" t="str">
        <x:f>IF(C76="","Unverified",IF(C76&lt;300000,"Low",IF(C76&lt;=600000,"Medium","High")))</x:f>
        <x:v>Unverified</x:v>
      </x:c>
      <x:c r="G76" s="115" t="n">
        <x:v>1600</x:v>
      </x:c>
      <x:c r="H76" s="78" t="str">
        <x:v>2026-05-27</x:v>
      </x:c>
      <x:c r="I76" s="78" t="str">
        <x:v>Zillow Rentals average asking rent; all bedrooms/all property types</x:v>
      </x:c>
      <x:c r="J76" s="78"/>
      <x:c r="K76" s="78" t="str">
        <x:v>https://www.zillow.com/rental-manager/market-trends/lexington-ky/</x:v>
      </x:c>
    </x:row>
    <x:row r="77" ht="72" customHeight="1">
      <x:c r="A77" s="78" t="n">
        <x:v>71</x:v>
      </x:c>
      <x:c r="B77" s="78" t="str">
        <x:v>Indianapolis</x:v>
      </x:c>
      <x:c r="C77" s="115"/>
      <x:c r="D77" s="78"/>
      <x:c r="E77" s="78" t="str">
        <x:v>Not retrieved for a verified comparable geography</x:v>
      </x:c>
      <x:c r="F77" s="78" t="str">
        <x:f>IF(C77="","Unverified",IF(C77&lt;300000,"Low",IF(C77&lt;=600000,"Medium","High")))</x:f>
        <x:v>Unverified</x:v>
      </x:c>
      <x:c r="G77" s="115" t="n">
        <x:v>1500</x:v>
      </x:c>
      <x:c r="H77" s="78" t="str">
        <x:v>2026-03-27</x:v>
      </x:c>
      <x:c r="I77" s="78" t="str">
        <x:v>Zillow Rentals average asking rent; all bedrooms/all property types</x:v>
      </x:c>
      <x:c r="J77" s="78"/>
      <x:c r="K77" s="78" t="str">
        <x:v>https://www.zillow.com/rental-manager/market-trends/indianapolis-in/</x:v>
      </x:c>
    </x:row>
    <x:row r="78" ht="72" customHeight="1">
      <x:c r="A78" s="78" t="n">
        <x:v>72</x:v>
      </x:c>
      <x:c r="B78" s="78" t="str">
        <x:v>Columbus</x:v>
      </x:c>
      <x:c r="C78" s="115"/>
      <x:c r="D78" s="78"/>
      <x:c r="E78" s="78" t="str">
        <x:v>Not retrieved for a verified comparable geography</x:v>
      </x:c>
      <x:c r="F78" s="78" t="str">
        <x:f>IF(C78="","Unverified",IF(C78&lt;300000,"Low",IF(C78&lt;=600000,"Medium","High")))</x:f>
        <x:v>Unverified</x:v>
      </x:c>
      <x:c r="G78" s="115" t="n">
        <x:v>1495</x:v>
      </x:c>
      <x:c r="H78" s="78" t="str">
        <x:v>2026-03-27</x:v>
      </x:c>
      <x:c r="I78" s="78" t="str">
        <x:v>Zillow Rentals average asking rent; all bedrooms/all property types</x:v>
      </x:c>
      <x:c r="J78" s="78"/>
      <x:c r="K78" s="78" t="str">
        <x:v>https://www.zillow.com/rental-manager/market-trends/columbus-oh/</x:v>
      </x:c>
    </x:row>
    <x:row r="79" ht="72" customHeight="1">
      <x:c r="A79" s="78" t="n">
        <x:v>73</x:v>
      </x:c>
      <x:c r="B79" s="78" t="str">
        <x:v>Cleveland</x:v>
      </x:c>
      <x:c r="C79" s="115"/>
      <x:c r="D79" s="78"/>
      <x:c r="E79" s="78" t="str">
        <x:v>Not retrieved for a verified comparable geography</x:v>
      </x:c>
      <x:c r="F79" s="78" t="str">
        <x:f>IF(C79="","Unverified",IF(C79&lt;300000,"Low",IF(C79&lt;=600000,"Medium","High")))</x:f>
        <x:v>Unverified</x:v>
      </x:c>
      <x:c r="G79" s="115" t="n">
        <x:v>1244</x:v>
      </x:c>
      <x:c r="H79" s="78" t="str">
        <x:v>2026-08-31</x:v>
      </x:c>
      <x:c r="I79" s="78" t="str">
        <x:v>Zillow Rentals average asking rent; all bedrooms/all property types</x:v>
      </x:c>
      <x:c r="J79" s="78"/>
      <x:c r="K79" s="78" t="str">
        <x:v>https://www.zillow.com/rental-manager/market-trends/cleveland-oh/</x:v>
      </x:c>
    </x:row>
    <x:row r="80" ht="72" customHeight="1">
      <x:c r="A80" s="78" t="n">
        <x:v>74</x:v>
      </x:c>
      <x:c r="B80" s="78" t="str">
        <x:v>Akron</x:v>
      </x:c>
      <x:c r="C80" s="115"/>
      <x:c r="D80" s="78"/>
      <x:c r="E80" s="78" t="str">
        <x:v>Not retrieved for a verified comparable geography</x:v>
      </x:c>
      <x:c r="F80" s="78" t="str">
        <x:f>IF(C80="","Unverified",IF(C80&lt;300000,"Low",IF(C80&lt;=600000,"Medium","High")))</x:f>
        <x:v>Unverified</x:v>
      </x:c>
      <x:c r="G80" s="115" t="n">
        <x:v>1050</x:v>
      </x:c>
      <x:c r="H80" s="78" t="str">
        <x:v>2026-03-07</x:v>
      </x:c>
      <x:c r="I80" s="78" t="str">
        <x:v>Zillow Rentals average asking rent; all bedrooms/all property types</x:v>
      </x:c>
      <x:c r="J80" s="78"/>
      <x:c r="K80" s="78" t="str">
        <x:v>https://www.zillow.com/rental-manager/market-trends/akron-oh/</x:v>
      </x:c>
    </x:row>
    <x:row r="81" ht="72" customHeight="1">
      <x:c r="A81" s="78" t="n">
        <x:v>75</x:v>
      </x:c>
      <x:c r="B81" s="78" t="str">
        <x:v>Pittsburgh</x:v>
      </x:c>
      <x:c r="C81" s="115"/>
      <x:c r="D81" s="78"/>
      <x:c r="E81" s="78" t="str">
        <x:v>Not retrieved for a verified comparable geography</x:v>
      </x:c>
      <x:c r="F81" s="78" t="str">
        <x:f>IF(C81="","Unverified",IF(C81&lt;300000,"Low",IF(C81&lt;=600000,"Medium","High")))</x:f>
        <x:v>Unverified</x:v>
      </x:c>
      <x:c r="G81" s="115" t="n">
        <x:v>1500</x:v>
      </x:c>
      <x:c r="H81" s="78" t="str">
        <x:v>2026-06-05</x:v>
      </x:c>
      <x:c r="I81" s="78" t="str">
        <x:v>Zillow Rentals average asking rent; all bedrooms/all property types</x:v>
      </x:c>
      <x:c r="J81" s="78"/>
      <x:c r="K81" s="78" t="str">
        <x:v>https://www.zillow.com/rental-manager/market-trends/pittsburgh-pa/</x:v>
      </x:c>
    </x:row>
    <x:row r="82" ht="72" customHeight="1">
      <x:c r="A82" s="78" t="n">
        <x:v>76</x:v>
      </x:c>
      <x:c r="B82" s="78" t="str">
        <x:v>Chattanooga</x:v>
      </x:c>
      <x:c r="C82" s="115"/>
      <x:c r="D82" s="78"/>
      <x:c r="E82" s="78" t="str">
        <x:v>Not retrieved for a verified comparable geography</x:v>
      </x:c>
      <x:c r="F82" s="78" t="str">
        <x:f>IF(C82="","Unverified",IF(C82&lt;300000,"Low",IF(C82&lt;=600000,"Medium","High")))</x:f>
        <x:v>Unverified</x:v>
      </x:c>
      <x:c r="G82" s="115" t="n">
        <x:v>1598</x:v>
      </x:c>
      <x:c r="H82" s="78" t="str">
        <x:v>2026-02-15</x:v>
      </x:c>
      <x:c r="I82" s="78" t="str">
        <x:v>Zillow Rentals average asking rent; all bedrooms/all property types</x:v>
      </x:c>
      <x:c r="J82" s="78"/>
      <x:c r="K82" s="78" t="str">
        <x:v>https://www.zillow.com/rental-manager/market-trends/chattanooga-tn/</x:v>
      </x:c>
    </x:row>
    <x:row r="83" ht="72" customHeight="1">
      <x:c r="A83" s="78" t="n">
        <x:v>77</x:v>
      </x:c>
      <x:c r="B83" s="78" t="str">
        <x:v>Knoxville</x:v>
      </x:c>
      <x:c r="C83" s="115"/>
      <x:c r="D83" s="78"/>
      <x:c r="E83" s="78" t="str">
        <x:v>Not retrieved for a verified comparable geography</x:v>
      </x:c>
      <x:c r="F83" s="78" t="str">
        <x:f>IF(C83="","Unverified",IF(C83&lt;300000,"Low",IF(C83&lt;=600000,"Medium","High")))</x:f>
        <x:v>Unverified</x:v>
      </x:c>
      <x:c r="G83" s="115"/>
      <x:c r="H83" s="78"/>
      <x:c r="I83" s="78" t="str">
        <x:v>Not retrieved</x:v>
      </x:c>
      <x:c r="J83" s="78"/>
      <x:c r="K83" s="78"/>
    </x:row>
    <x:row r="84" ht="72" customHeight="1">
      <x:c r="A84" s="78" t="n">
        <x:v>78</x:v>
      </x:c>
      <x:c r="B84" s="78" t="str">
        <x:v>Nashville</x:v>
      </x:c>
      <x:c r="C84" s="115"/>
      <x:c r="D84" s="78"/>
      <x:c r="E84" s="78" t="str">
        <x:v>Not retrieved for a verified comparable geography</x:v>
      </x:c>
      <x:c r="F84" s="78" t="str">
        <x:f>IF(C84="","Unverified",IF(C84&lt;300000,"Low",IF(C84&lt;=600000,"Medium","High")))</x:f>
        <x:v>Unverified</x:v>
      </x:c>
      <x:c r="G84" s="115"/>
      <x:c r="H84" s="78"/>
      <x:c r="I84" s="78" t="str">
        <x:v>Not retrieved</x:v>
      </x:c>
      <x:c r="J84" s="78"/>
      <x:c r="K84" s="78"/>
    </x:row>
    <x:row r="85" ht="72" customHeight="1">
      <x:c r="A85" s="78" t="n">
        <x:v>79</x:v>
      </x:c>
      <x:c r="B85" s="78" t="str">
        <x:v>Savannah</x:v>
      </x:c>
      <x:c r="C85" s="115"/>
      <x:c r="D85" s="78"/>
      <x:c r="E85" s="78" t="str">
        <x:v>Not retrieved for a verified comparable geography</x:v>
      </x:c>
      <x:c r="F85" s="78" t="str">
        <x:f>IF(C85="","Unverified",IF(C85&lt;300000,"Low",IF(C85&lt;=600000,"Medium","High")))</x:f>
        <x:v>Unverified</x:v>
      </x:c>
      <x:c r="G85" s="115"/>
      <x:c r="H85" s="78"/>
      <x:c r="I85" s="78" t="str">
        <x:v>Not retrieved</x:v>
      </x:c>
      <x:c r="J85" s="78"/>
      <x:c r="K85" s="78"/>
    </x:row>
    <x:row r="86" ht="72" customHeight="1">
      <x:c r="A86" s="78" t="n">
        <x:v>80</x:v>
      </x:c>
      <x:c r="B86" s="78" t="str">
        <x:v>Athens</x:v>
      </x:c>
      <x:c r="C86" s="115"/>
      <x:c r="D86" s="78"/>
      <x:c r="E86" s="78" t="str">
        <x:v>Not retrieved for a verified comparable geography</x:v>
      </x:c>
      <x:c r="F86" s="78" t="str">
        <x:f>IF(C86="","Unverified",IF(C86&lt;300000,"Low",IF(C86&lt;=600000,"Medium","High")))</x:f>
        <x:v>Unverified</x:v>
      </x:c>
      <x:c r="G86" s="115"/>
      <x:c r="H86" s="78"/>
      <x:c r="I86" s="78" t="str">
        <x:v>Not retrieved</x:v>
      </x:c>
      <x:c r="J86" s="78"/>
      <x:c r="K86" s="78"/>
    </x:row>
    <x:row r="87" ht="72" customHeight="1">
      <x:c r="A87" s="78" t="n">
        <x:v>81</x:v>
      </x:c>
      <x:c r="B87" s="78" t="str">
        <x:v>Flagstaff</x:v>
      </x:c>
      <x:c r="C87" s="115"/>
      <x:c r="D87" s="78"/>
      <x:c r="E87" s="78" t="str">
        <x:v>Not retrieved for a verified comparable geography</x:v>
      </x:c>
      <x:c r="F87" s="78" t="str">
        <x:f>IF(C87="","Unverified",IF(C87&lt;300000,"Low",IF(C87&lt;=600000,"Medium","High")))</x:f>
        <x:v>Unverified</x:v>
      </x:c>
      <x:c r="G87" s="115"/>
      <x:c r="H87" s="78"/>
      <x:c r="I87" s="78" t="str">
        <x:v>Not retrieved</x:v>
      </x:c>
      <x:c r="J87" s="78"/>
      <x:c r="K87" s="78"/>
    </x:row>
    <x:row r="88" ht="72" customHeight="1">
      <x:c r="A88" s="78" t="n">
        <x:v>82</x:v>
      </x:c>
      <x:c r="B88" s="78" t="str">
        <x:v>Sedona</x:v>
      </x:c>
      <x:c r="C88" s="115"/>
      <x:c r="D88" s="78"/>
      <x:c r="E88" s="78" t="str">
        <x:v>Not retrieved for a verified comparable geography</x:v>
      </x:c>
      <x:c r="F88" s="78" t="str">
        <x:f>IF(C88="","Unverified",IF(C88&lt;300000,"Low",IF(C88&lt;=600000,"Medium","High")))</x:f>
        <x:v>Unverified</x:v>
      </x:c>
      <x:c r="G88" s="115"/>
      <x:c r="H88" s="78"/>
      <x:c r="I88" s="78" t="str">
        <x:v>Not retrieved</x:v>
      </x:c>
      <x:c r="J88" s="78"/>
      <x:c r="K88" s="78"/>
    </x:row>
    <x:row r="89" ht="72" customHeight="1">
      <x:c r="A89" s="78" t="n">
        <x:v>83</x:v>
      </x:c>
      <x:c r="B89" s="78" t="str">
        <x:v>Scottsdale</x:v>
      </x:c>
      <x:c r="C89" s="115" t="n">
        <x:v>854394</x:v>
      </x:c>
      <x:c r="D89" s="78" t="str">
        <x:v>2026-07-31</x:v>
      </x:c>
      <x:c r="E89" s="78" t="str">
        <x:v>Zillow typical home value (ZHVI); city, not STR-ready property</x:v>
      </x:c>
      <x:c r="F89" s="78" t="str">
        <x:f>IF(C89="","Unverified",IF(C89&lt;300000,"Low",IF(C89&lt;=600000,"Medium","High")))</x:f>
        <x:v>High</x:v>
      </x:c>
      <x:c r="G89" s="115"/>
      <x:c r="H89" s="78"/>
      <x:c r="I89" s="78" t="str">
        <x:v>Not retrieved</x:v>
      </x:c>
      <x:c r="J89" s="78" t="str">
        <x:v>https://www.zillow.com/home-values/54346/scottsdale-az/</x:v>
      </x:c>
      <x:c r="K89" s="78"/>
    </x:row>
    <x:row r="90" ht="72" customHeight="1">
      <x:c r="A90" s="78" t="n">
        <x:v>84</x:v>
      </x:c>
      <x:c r="B90" s="78" t="str">
        <x:v>Tucson</x:v>
      </x:c>
      <x:c r="C90" s="115"/>
      <x:c r="D90" s="78"/>
      <x:c r="E90" s="78" t="str">
        <x:v>Not retrieved for a verified comparable geography</x:v>
      </x:c>
      <x:c r="F90" s="78" t="str">
        <x:f>IF(C90="","Unverified",IF(C90&lt;300000,"Low",IF(C90&lt;=600000,"Medium","High")))</x:f>
        <x:v>Unverified</x:v>
      </x:c>
      <x:c r="G90" s="115"/>
      <x:c r="H90" s="78"/>
      <x:c r="I90" s="78" t="str">
        <x:v>Not retrieved</x:v>
      </x:c>
      <x:c r="J90" s="78"/>
      <x:c r="K90" s="78"/>
    </x:row>
    <x:row r="91" ht="72" customHeight="1">
      <x:c r="A91" s="78" t="n">
        <x:v>85</x:v>
      </x:c>
      <x:c r="B91" s="78" t="str">
        <x:v>Joshua Tree</x:v>
      </x:c>
      <x:c r="C91" s="115" t="n">
        <x:v>346012</x:v>
      </x:c>
      <x:c r="D91" s="78" t="str">
        <x:v>2026-08-31</x:v>
      </x:c>
      <x:c r="E91" s="78" t="str">
        <x:v>Zillow typical home value (ZHVI); city, not STR-ready property</x:v>
      </x:c>
      <x:c r="F91" s="78" t="str">
        <x:f>IF(C91="","Unverified",IF(C91&lt;300000,"Low",IF(C91&lt;=600000,"Medium","High")))</x:f>
        <x:v>Medium</x:v>
      </x:c>
      <x:c r="G91" s="115"/>
      <x:c r="H91" s="78"/>
      <x:c r="I91" s="78" t="str">
        <x:v>Not retrieved</x:v>
      </x:c>
      <x:c r="J91" s="78" t="str">
        <x:v>https://www.zillow.com/home-values/35723/joshua-tree-ca/</x:v>
      </x:c>
      <x:c r="K91" s="78"/>
    </x:row>
    <x:row r="92" ht="72" customHeight="1">
      <x:c r="A92" s="78" t="n">
        <x:v>86</x:v>
      </x:c>
      <x:c r="B92" s="78" t="str">
        <x:v>Big Bear Lake</x:v>
      </x:c>
      <x:c r="C92" s="115" t="n">
        <x:v>530328</x:v>
      </x:c>
      <x:c r="D92" s="78" t="str">
        <x:v>2026-08-31</x:v>
      </x:c>
      <x:c r="E92" s="78" t="str">
        <x:v>Zillow typical home value (ZHVI); city, not STR-ready property</x:v>
      </x:c>
      <x:c r="F92" s="78" t="str">
        <x:f>IF(C92="","Unverified",IF(C92&lt;300000,"Low",IF(C92&lt;=600000,"Medium","High")))</x:f>
        <x:v>Medium</x:v>
      </x:c>
      <x:c r="G92" s="115" t="n">
        <x:v>1859</x:v>
      </x:c>
      <x:c r="H92" s="78" t="str">
        <x:v>2026-08-31</x:v>
      </x:c>
      <x:c r="I92" s="78" t="str">
        <x:v>Zillow Observed Rent Index (ZORI) on housing-market page; not lease quote</x:v>
      </x:c>
      <x:c r="J92" s="78" t="str">
        <x:v>https://www.zillow.com/home-values/44161/big-bear-lake-ca/</x:v>
      </x:c>
      <x:c r="K92" s="78" t="str">
        <x:v>https://www.zillow.com/home-values/44161/big-bear-lake-ca/</x:v>
      </x:c>
    </x:row>
    <x:row r="93" ht="72" customHeight="1">
      <x:c r="A93" s="78" t="n">
        <x:v>87</x:v>
      </x:c>
      <x:c r="B93" s="78" t="str">
        <x:v>Palm Springs</x:v>
      </x:c>
      <x:c r="C93" s="115"/>
      <x:c r="D93" s="78"/>
      <x:c r="E93" s="78" t="str">
        <x:v>Not retrieved for a verified comparable geography</x:v>
      </x:c>
      <x:c r="F93" s="78" t="str">
        <x:f>IF(C93="","Unverified",IF(C93&lt;300000,"Low",IF(C93&lt;=600000,"Medium","High")))</x:f>
        <x:v>Unverified</x:v>
      </x:c>
      <x:c r="G93" s="115"/>
      <x:c r="H93" s="78"/>
      <x:c r="I93" s="78" t="str">
        <x:v>Not retrieved</x:v>
      </x:c>
      <x:c r="J93" s="78"/>
      <x:c r="K93" s="78"/>
    </x:row>
    <x:row r="94" ht="72" customHeight="1">
      <x:c r="A94" s="78" t="n">
        <x:v>88</x:v>
      </x:c>
      <x:c r="B94" s="78" t="str">
        <x:v>Mammoth Lakes</x:v>
      </x:c>
      <x:c r="C94" s="115"/>
      <x:c r="D94" s="78"/>
      <x:c r="E94" s="78" t="str">
        <x:v>Not retrieved for a verified comparable geography</x:v>
      </x:c>
      <x:c r="F94" s="78" t="str">
        <x:f>IF(C94="","Unverified",IF(C94&lt;300000,"Low",IF(C94&lt;=600000,"Medium","High")))</x:f>
        <x:v>Unverified</x:v>
      </x:c>
      <x:c r="G94" s="115"/>
      <x:c r="H94" s="78"/>
      <x:c r="I94" s="78" t="str">
        <x:v>Not retrieved</x:v>
      </x:c>
      <x:c r="J94" s="78"/>
      <x:c r="K94" s="78"/>
    </x:row>
    <x:row r="95" ht="72" customHeight="1">
      <x:c r="A95" s="78" t="n">
        <x:v>89</x:v>
      </x:c>
      <x:c r="B95" s="78" t="str">
        <x:v>Breckenridge</x:v>
      </x:c>
      <x:c r="C95" s="115"/>
      <x:c r="D95" s="78"/>
      <x:c r="E95" s="78" t="str">
        <x:v>Not retrieved for a verified comparable geography</x:v>
      </x:c>
      <x:c r="F95" s="78" t="str">
        <x:f>IF(C95="","Unverified",IF(C95&lt;300000,"Low",IF(C95&lt;=600000,"Medium","High")))</x:f>
        <x:v>Unverified</x:v>
      </x:c>
      <x:c r="G95" s="115"/>
      <x:c r="H95" s="78"/>
      <x:c r="I95" s="78" t="str">
        <x:v>Not retrieved</x:v>
      </x:c>
      <x:c r="J95" s="78"/>
      <x:c r="K95" s="78"/>
    </x:row>
    <x:row r="96" ht="72" customHeight="1">
      <x:c r="A96" s="78" t="n">
        <x:v>90</x:v>
      </x:c>
      <x:c r="B96" s="78" t="str">
        <x:v>Estes Park</x:v>
      </x:c>
      <x:c r="C96" s="115"/>
      <x:c r="D96" s="78"/>
      <x:c r="E96" s="78" t="str">
        <x:v>Not retrieved for a verified comparable geography</x:v>
      </x:c>
      <x:c r="F96" s="78" t="str">
        <x:f>IF(C96="","Unverified",IF(C96&lt;300000,"Low",IF(C96&lt;=600000,"Medium","High")))</x:f>
        <x:v>Unverified</x:v>
      </x:c>
      <x:c r="G96" s="115"/>
      <x:c r="H96" s="78"/>
      <x:c r="I96" s="78" t="str">
        <x:v>Not retrieved</x:v>
      </x:c>
      <x:c r="J96" s="78"/>
      <x:c r="K96" s="78"/>
    </x:row>
    <x:row r="97" ht="72" customHeight="1">
      <x:c r="A97" s="78" t="n">
        <x:v>91</x:v>
      </x:c>
      <x:c r="B97" s="78" t="str">
        <x:v>Pagosa Springs</x:v>
      </x:c>
      <x:c r="C97" s="115"/>
      <x:c r="D97" s="78"/>
      <x:c r="E97" s="78" t="str">
        <x:v>Not retrieved for a verified comparable geography</x:v>
      </x:c>
      <x:c r="F97" s="78" t="str">
        <x:f>IF(C97="","Unverified",IF(C97&lt;300000,"Low",IF(C97&lt;=600000,"Medium","High")))</x:f>
        <x:v>Unverified</x:v>
      </x:c>
      <x:c r="G97" s="115"/>
      <x:c r="H97" s="78"/>
      <x:c r="I97" s="78" t="str">
        <x:v>Not retrieved</x:v>
      </x:c>
      <x:c r="J97" s="78"/>
      <x:c r="K97" s="78"/>
    </x:row>
    <x:row r="98" ht="72" customHeight="1">
      <x:c r="A98" s="78" t="n">
        <x:v>92</x:v>
      </x:c>
      <x:c r="B98" s="78" t="str">
        <x:v>Durango</x:v>
      </x:c>
      <x:c r="C98" s="115"/>
      <x:c r="D98" s="78"/>
      <x:c r="E98" s="78" t="str">
        <x:v>Not retrieved for a verified comparable geography</x:v>
      </x:c>
      <x:c r="F98" s="78" t="str">
        <x:f>IF(C98="","Unverified",IF(C98&lt;300000,"Low",IF(C98&lt;=600000,"Medium","High")))</x:f>
        <x:v>Unverified</x:v>
      </x:c>
      <x:c r="G98" s="115"/>
      <x:c r="H98" s="78"/>
      <x:c r="I98" s="78" t="str">
        <x:v>Not retrieved</x:v>
      </x:c>
      <x:c r="J98" s="78"/>
      <x:c r="K98" s="78"/>
    </x:row>
    <x:row r="99" ht="72" customHeight="1">
      <x:c r="A99" s="78" t="n">
        <x:v>93</x:v>
      </x:c>
      <x:c r="B99" s="78" t="str">
        <x:v>Park City</x:v>
      </x:c>
      <x:c r="C99" s="115"/>
      <x:c r="D99" s="78"/>
      <x:c r="E99" s="78" t="str">
        <x:v>Not retrieved for a verified comparable geography</x:v>
      </x:c>
      <x:c r="F99" s="78" t="str">
        <x:f>IF(C99="","Unverified",IF(C99&lt;300000,"Low",IF(C99&lt;=600000,"Medium","High")))</x:f>
        <x:v>Unverified</x:v>
      </x:c>
      <x:c r="G99" s="115"/>
      <x:c r="H99" s="78"/>
      <x:c r="I99" s="78" t="str">
        <x:v>Not retrieved</x:v>
      </x:c>
      <x:c r="J99" s="78"/>
      <x:c r="K99" s="78"/>
    </x:row>
    <x:row r="100" ht="72" customHeight="1">
      <x:c r="A100" s="78" t="n">
        <x:v>94</x:v>
      </x:c>
      <x:c r="B100" s="78" t="str">
        <x:v>Hurricane</x:v>
      </x:c>
      <x:c r="C100" s="115"/>
      <x:c r="D100" s="78"/>
      <x:c r="E100" s="78" t="str">
        <x:v>Not retrieved for a verified comparable geography</x:v>
      </x:c>
      <x:c r="F100" s="78" t="str">
        <x:f>IF(C100="","Unverified",IF(C100&lt;300000,"Low",IF(C100&lt;=600000,"Medium","High")))</x:f>
        <x:v>Unverified</x:v>
      </x:c>
      <x:c r="G100" s="115"/>
      <x:c r="H100" s="78"/>
      <x:c r="I100" s="78" t="str">
        <x:v>Not retrieved</x:v>
      </x:c>
      <x:c r="J100" s="78"/>
      <x:c r="K100" s="78"/>
    </x:row>
    <x:row r="101" ht="72" customHeight="1">
      <x:c r="A101" s="78" t="n">
        <x:v>95</x:v>
      </x:c>
      <x:c r="B101" s="78" t="str">
        <x:v>Moab</x:v>
      </x:c>
      <x:c r="C101" s="115"/>
      <x:c r="D101" s="78"/>
      <x:c r="E101" s="78" t="str">
        <x:v>Not retrieved for a verified comparable geography</x:v>
      </x:c>
      <x:c r="F101" s="78" t="str">
        <x:f>IF(C101="","Unverified",IF(C101&lt;300000,"Low",IF(C101&lt;=600000,"Medium","High")))</x:f>
        <x:v>Unverified</x:v>
      </x:c>
      <x:c r="G101" s="115"/>
      <x:c r="H101" s="78"/>
      <x:c r="I101" s="78" t="str">
        <x:v>Not retrieved</x:v>
      </x:c>
      <x:c r="J101" s="78"/>
      <x:c r="K101" s="78"/>
    </x:row>
    <x:row r="102" ht="72" customHeight="1">
      <x:c r="A102" s="78" t="n">
        <x:v>96</x:v>
      </x:c>
      <x:c r="B102" s="78" t="str">
        <x:v>Whitefish</x:v>
      </x:c>
      <x:c r="C102" s="115"/>
      <x:c r="D102" s="78"/>
      <x:c r="E102" s="78" t="str">
        <x:v>Not retrieved for a verified comparable geography</x:v>
      </x:c>
      <x:c r="F102" s="78" t="str">
        <x:f>IF(C102="","Unverified",IF(C102&lt;300000,"Low",IF(C102&lt;=600000,"Medium","High")))</x:f>
        <x:v>Unverified</x:v>
      </x:c>
      <x:c r="G102" s="115"/>
      <x:c r="H102" s="78"/>
      <x:c r="I102" s="78" t="str">
        <x:v>Not retrieved</x:v>
      </x:c>
      <x:c r="J102" s="78"/>
      <x:c r="K102" s="78"/>
    </x:row>
    <x:row r="103" ht="72" customHeight="1">
      <x:c r="A103" s="78" t="n">
        <x:v>97</x:v>
      </x:c>
      <x:c r="B103" s="78" t="str">
        <x:v>West Yellowstone</x:v>
      </x:c>
      <x:c r="C103" s="115"/>
      <x:c r="D103" s="78"/>
      <x:c r="E103" s="78" t="str">
        <x:v>Not retrieved for a verified comparable geography</x:v>
      </x:c>
      <x:c r="F103" s="78" t="str">
        <x:f>IF(C103="","Unverified",IF(C103&lt;300000,"Low",IF(C103&lt;=600000,"Medium","High")))</x:f>
        <x:v>Unverified</x:v>
      </x:c>
      <x:c r="G103" s="115"/>
      <x:c r="H103" s="78"/>
      <x:c r="I103" s="78" t="str">
        <x:v>Not retrieved</x:v>
      </x:c>
      <x:c r="J103" s="78"/>
      <x:c r="K103" s="78"/>
    </x:row>
    <x:row r="104" ht="72" customHeight="1">
      <x:c r="A104" s="78" t="n">
        <x:v>98</x:v>
      </x:c>
      <x:c r="B104" s="78" t="str">
        <x:v>Bend</x:v>
      </x:c>
      <x:c r="C104" s="115"/>
      <x:c r="D104" s="78"/>
      <x:c r="E104" s="78" t="str">
        <x:v>Not retrieved for a verified comparable geography</x:v>
      </x:c>
      <x:c r="F104" s="78" t="str">
        <x:f>IF(C104="","Unverified",IF(C104&lt;300000,"Low",IF(C104&lt;=600000,"Medium","High")))</x:f>
        <x:v>Unverified</x:v>
      </x:c>
      <x:c r="G104" s="115"/>
      <x:c r="H104" s="78"/>
      <x:c r="I104" s="78" t="str">
        <x:v>Not retrieved</x:v>
      </x:c>
      <x:c r="J104" s="78"/>
      <x:c r="K104" s="78"/>
    </x:row>
    <x:row r="105" ht="72" customHeight="1">
      <x:c r="A105" s="78" t="n">
        <x:v>99</x:v>
      </x:c>
      <x:c r="B105" s="78" t="str">
        <x:v>Lincoln City</x:v>
      </x:c>
      <x:c r="C105" s="115"/>
      <x:c r="D105" s="78"/>
      <x:c r="E105" s="78" t="str">
        <x:v>Not retrieved for a verified comparable geography</x:v>
      </x:c>
      <x:c r="F105" s="78" t="str">
        <x:f>IF(C105="","Unverified",IF(C105&lt;300000,"Low",IF(C105&lt;=600000,"Medium","High")))</x:f>
        <x:v>Unverified</x:v>
      </x:c>
      <x:c r="G105" s="115"/>
      <x:c r="H105" s="78"/>
      <x:c r="I105" s="78" t="str">
        <x:v>Not retrieved</x:v>
      </x:c>
      <x:c r="J105" s="78"/>
      <x:c r="K105" s="78"/>
    </x:row>
    <x:row r="106" ht="72" customHeight="1">
      <x:c r="A106" s="78" t="n">
        <x:v>100</x:v>
      </x:c>
      <x:c r="B106" s="78" t="str">
        <x:v>Bar Harbor</x:v>
      </x:c>
      <x:c r="C106" s="115"/>
      <x:c r="D106" s="78"/>
      <x:c r="E106" s="78" t="str">
        <x:v>Not retrieved for a verified comparable geography</x:v>
      </x:c>
      <x:c r="F106" s="78" t="str">
        <x:f>IF(C106="","Unverified",IF(C106&lt;300000,"Low",IF(C106&lt;=600000,"Medium","High")))</x:f>
        <x:v>Unverified</x:v>
      </x:c>
      <x:c r="G106" s="115"/>
      <x:c r="H106" s="78"/>
      <x:c r="I106" s="78" t="str">
        <x:v>Not retrieved</x:v>
      </x:c>
      <x:c r="J106" s="78"/>
      <x:c r="K106" s="78"/>
    </x:row>
  </x:sheetData>
  <x:mergeCells>
    <x:mergeCell ref="A1:G2"/>
    <x:mergeCell ref="A3:G4"/>
  </x:mergeCells>
  <x:pageMargins left="0.7" right="0.7" top="0.75" bottom="0.75" header="0.3" footer="0.3"/>
  <x:legacyDrawing xmlns:r="http://schemas.openxmlformats.org/officeDocument/2006/relationships" r:id="R27c2ad3aa59b4b01"/>
  <x:tableParts count="1">
    <x:tablePart xmlns:r="http://schemas.openxmlformats.org/officeDocument/2006/relationships" r:id="R84d66e11b62a43a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0" hidden="0" customWidth="1"/>
    <x:col min="3" max="3" width="26" hidden="0" customWidth="1"/>
    <x:col min="4" max="4" width="52" hidden="0" customWidth="1"/>
    <x:col min="5" max="5" width="44" hidden="0" customWidth="1"/>
    <x:col min="6" max="6" width="32" hidden="0" customWidth="1"/>
    <x:col min="7" max="7" width="14" hidden="0" customWidth="1"/>
    <x:col min="8" max="8" width="48" hidden="0" customWidth="1"/>
  </x:cols>
  <x:sheetData>
    <x:row r="1" ht="28" customHeight="1">
      <x:c r="A1" s="80" t="str">
        <x:v>REGULATION | Eligibility comes before revenue</x:v>
      </x:c>
      <x:c r="B1" s="80"/>
      <x:c r="C1" s="80"/>
      <x:c r="D1" s="80"/>
      <x:c r="E1" s="80"/>
      <x:c r="F1" s="80"/>
      <x:c r="G1" s="80"/>
      <x:c r="H1" s="80"/>
    </x:row>
    <x:row r="2" ht="24" customHeight="1">
      <x:c r="A2" s="80"/>
      <x:c r="B2" s="80"/>
      <x:c r="C2" s="80"/>
      <x:c r="D2" s="80"/>
      <x:c r="E2" s="80"/>
      <x:c r="F2" s="80"/>
      <x:c r="G2" s="80"/>
      <x:c r="H2" s="80"/>
    </x:row>
    <x:row r="3" ht="27" customHeight="1">
      <x:c r="A3" s="81" t="str">
        <x:v>Official program reviews are not legal opinions. 'Permit path identified' is not parcel approval. A blank review date means the local review is not completed. HOA, lease and lender rules remain separate.</x:v>
      </x:c>
      <x:c r="B3" s="81"/>
      <x:c r="C3" s="81"/>
      <x:c r="D3" s="81"/>
      <x:c r="E3" s="81"/>
      <x:c r="F3" s="81"/>
      <x:c r="G3" s="81"/>
      <x:c r="H3" s="81"/>
    </x:row>
    <x:row r="4" ht="27" customHeight="1">
      <x:c r="A4" s="81"/>
      <x:c r="B4" s="81"/>
      <x:c r="C4" s="81"/>
      <x:c r="D4" s="81"/>
      <x:c r="E4" s="81"/>
      <x:c r="F4" s="81"/>
      <x:c r="G4" s="81"/>
      <x:c r="H4" s="81"/>
    </x:row>
    <x:row r="5" ht="10" customHeight="1">
      <x:c r="A5" s="78"/>
      <x:c r="B5" s="78"/>
      <x:c r="C5" s="78"/>
      <x:c r="D5" s="78"/>
      <x:c r="E5" s="78"/>
      <x:c r="F5" s="78"/>
      <x:c r="G5" s="78"/>
      <x:c r="H5" s="78"/>
    </x:row>
    <x:row r="6" ht="37" customHeight="1">
      <x:c r="A6" s="103" t="str">
        <x:v>ID</x:v>
      </x:c>
      <x:c r="B6" s="103" t="str">
        <x:v>Market</x:v>
      </x:c>
      <x:c r="C6" s="103" t="str">
        <x:v>Screening status</x:v>
      </x:c>
      <x:c r="D6" s="103" t="str">
        <x:v>Reviewed official-source findings</x:v>
      </x:c>
      <x:c r="E6" s="103" t="str">
        <x:v>Unresolved address-level question</x:v>
      </x:c>
      <x:c r="F6" s="103" t="str">
        <x:v>Scope / jurisdiction</x:v>
      </x:c>
      <x:c r="G6" s="103" t="str">
        <x:v>Review date</x:v>
      </x:c>
      <x:c r="H6" s="103" t="str">
        <x:v>Official source URL</x:v>
      </x:c>
    </x:row>
    <x:row r="7" ht="85" customHeight="1">
      <x:c r="A7" s="78" t="n">
        <x:v>1</x:v>
      </x:c>
      <x:c r="B7" s="78" t="str">
        <x:v>Sevierville</x:v>
      </x:c>
      <x:c r="C7" s="102" t="str">
        <x:v>Permit path identified</x:v>
      </x:c>
      <x:c r="D7" s="116" t="str">
        <x:v>City operational permit, annual renewal and life-safety inspection. Unincorporated Sevier County has a separate annual permit/inspection program; verify boundary first.</x:v>
      </x:c>
      <x:c r="E7" s="116" t="str">
        <x:v>Determine city limits versus unincorporated Sevier County before using a permit checklist.</x:v>
      </x:c>
      <x:c r="F7" s="116" t="str">
        <x:v>Named municipality; parcel and HOA not cleared</x:v>
      </x:c>
      <x:c r="G7" s="78" t="str">
        <x:v>2026-09-21</x:v>
      </x:c>
      <x:c r="H7" s="78" t="str">
        <x:v>https://www.seviervilletn.org/467/Short-Term-Rentals</x:v>
      </x:c>
    </x:row>
    <x:row r="8" ht="85" customHeight="1">
      <x:c r="A8" s="78" t="n">
        <x:v>2</x:v>
      </x:c>
      <x:c r="B8" s="78" t="str">
        <x:v>Gatlinburg</x:v>
      </x:c>
      <x:c r="C8" s="102" t="str">
        <x:v>Partial jurisdiction review</x:v>
      </x:c>
      <x:c r="D8" s="116" t="str">
        <x:v>Sevier County annual permit/inspection applies OUTSIDE city limits only. City-specific zoning and tourist-residency/business approvals were not independently completed; do not apply county rules to city property.</x:v>
      </x:c>
      <x:c r="E8" s="116" t="str">
        <x:v>Obtain Gatlinburg-specific zoning and permit confirmation; county rules alone do not clear city parcels.</x:v>
      </x:c>
      <x:c r="F8" s="116" t="str">
        <x:v>Unincorporated county only; city review outstanding</x:v>
      </x:c>
      <x:c r="G8" s="78" t="str">
        <x:v>2026-09-21</x:v>
      </x:c>
      <x:c r="H8" s="78" t="str">
        <x:v>https://www.seviercountytn.gov/news_detail_T2_R68.php</x:v>
      </x:c>
    </x:row>
    <x:row r="9" ht="85" customHeight="1">
      <x:c r="A9" s="78" t="n">
        <x:v>3</x:v>
      </x:c>
      <x:c r="B9" s="78" t="str">
        <x:v>Pigeon Forge</x:v>
      </x:c>
      <x:c r="C9" s="102" t="str">
        <x:v>Partial jurisdiction review</x:v>
      </x:c>
      <x:c r="D9" s="116" t="str">
        <x:v>Sevier County annual permit/inspection applies OUTSIDE city limits only. City-specific zoning and tourist-residency/business approvals were not independently completed; do not apply county rules to city property.</x:v>
      </x:c>
      <x:c r="E9" s="116" t="str">
        <x:v>Confirm Pigeon Forge jurisdiction, permitted use and life-safety requirements.</x:v>
      </x:c>
      <x:c r="F9" s="116" t="str">
        <x:v>Unincorporated county only; city review outstanding</x:v>
      </x:c>
      <x:c r="G9" s="78" t="str">
        <x:v>2026-09-21</x:v>
      </x:c>
      <x:c r="H9" s="78" t="str">
        <x:v>https://www.seviercountytn.gov/news_detail_T2_R68.php</x:v>
      </x:c>
    </x:row>
    <x:row r="10" ht="85" customHeight="1">
      <x:c r="A10" s="78" t="n">
        <x:v>4</x:v>
      </x:c>
      <x:c r="B10" s="78" t="str">
        <x:v>Blue Ridge</x:v>
      </x:c>
      <x:c r="C10" s="102" t="str">
        <x:v>Local review not completed</x:v>
      </x:c>
      <x:c r="D10" s="116" t="str">
        <x:v>No independent local legal clearance in this edition. Confirm exact city/county, zoning, owner-occupancy rules, permit/cap availability, transfer rules, lease and HOA before spending.</x:v>
      </x:c>
      <x:c r="E10" s="116" t="str">
        <x:v>Separate city rules from Fannin County rules and any private cabin-community covenants.</x:v>
      </x:c>
      <x:c r="F10" s="116" t="str">
        <x:v>Exact parcel jurisdiction must be established</x:v>
      </x:c>
      <x:c r="G10" s="78"/>
      <x:c r="H10" s="78"/>
    </x:row>
    <x:row r="11" ht="85" customHeight="1">
      <x:c r="A11" s="78" t="n">
        <x:v>5</x:v>
      </x:c>
      <x:c r="B11" s="78" t="str">
        <x:v>Ellijay</x:v>
      </x:c>
      <x:c r="C11" s="102" t="str">
        <x:v>Local review not completed</x:v>
      </x:c>
      <x:c r="D11" s="116" t="str">
        <x:v>No independent local legal clearance in this edition. Confirm exact city/county, zoning, owner-occupancy rules, permit/cap availability, transfer rules, lease and HOA before spending.</x:v>
      </x:c>
      <x:c r="E11" s="116" t="str">
        <x:v>Identify city versus Gilmer County jurisdiction and community rental restrictions.</x:v>
      </x:c>
      <x:c r="F11" s="116" t="str">
        <x:v>Exact parcel jurisdiction must be established</x:v>
      </x:c>
      <x:c r="G11" s="78"/>
      <x:c r="H11" s="78"/>
    </x:row>
    <x:row r="12" ht="85" customHeight="1">
      <x:c r="A12" s="78" t="n">
        <x:v>6</x:v>
      </x:c>
      <x:c r="B12" s="78" t="str">
        <x:v>Broken Bow</x:v>
      </x:c>
      <x:c r="C12" s="102" t="str">
        <x:v>Local review not completed</x:v>
      </x:c>
      <x:c r="D12" s="116" t="str">
        <x:v>No independent local legal clearance in this edition. Confirm exact city/county, zoning, owner-occupancy rules, permit/cap availability, transfer rules, lease and HOA before spending.</x:v>
      </x:c>
      <x:c r="E12" s="116" t="str">
        <x:v>Separate Broken Bow city parcels from Hochatown and county jurisdictions.</x:v>
      </x:c>
      <x:c r="F12" s="116" t="str">
        <x:v>Exact parcel jurisdiction must be established</x:v>
      </x:c>
      <x:c r="G12" s="78"/>
      <x:c r="H12" s="78"/>
    </x:row>
    <x:row r="13" ht="85" customHeight="1">
      <x:c r="A13" s="78" t="n">
        <x:v>7</x:v>
      </x:c>
      <x:c r="B13" s="78" t="str">
        <x:v>Branson</x:v>
      </x:c>
      <x:c r="C13" s="102" t="str">
        <x:v>Local review not completed</x:v>
      </x:c>
      <x:c r="D13" s="116" t="str">
        <x:v>No independent local legal clearance in this edition. Confirm exact city/county, zoning, owner-occupancy rules, permit/cap availability, transfer rules, lease and HOA before spending.</x:v>
      </x:c>
      <x:c r="E13" s="116" t="str">
        <x:v>Verify nightly-rental zoning, condo declaration and any resort rental-management obligations.</x:v>
      </x:c>
      <x:c r="F13" s="116" t="str">
        <x:v>Exact parcel jurisdiction must be established</x:v>
      </x:c>
      <x:c r="G13" s="78"/>
      <x:c r="H13" s="78"/>
    </x:row>
    <x:row r="14" ht="85" customHeight="1">
      <x:c r="A14" s="78" t="n">
        <x:v>8</x:v>
      </x:c>
      <x:c r="B14" s="78" t="str">
        <x:v>Hot Springs</x:v>
      </x:c>
      <x:c r="C14" s="102" t="str">
        <x:v>Local review not completed</x:v>
      </x:c>
      <x:c r="D14" s="116" t="str">
        <x:v>No independent local legal clearance in this edition. Confirm exact city/county, zoning, owner-occupancy rules, permit/cap availability, transfer rules, lease and HOA before spending.</x:v>
      </x:c>
      <x:c r="E14" s="116" t="str">
        <x:v>The vendor geography is Hot Springs National Park; confirm the property's actual city/county rules.</x:v>
      </x:c>
      <x:c r="F14" s="116" t="str">
        <x:v>Exact parcel jurisdiction must be established</x:v>
      </x:c>
      <x:c r="G14" s="78"/>
      <x:c r="H14" s="78"/>
    </x:row>
    <x:row r="15" ht="85" customHeight="1">
      <x:c r="A15" s="78" t="n">
        <x:v>9</x:v>
      </x:c>
      <x:c r="B15" s="78" t="str">
        <x:v>Gulf Shores</x:v>
      </x:c>
      <x:c r="C15" s="102" t="str">
        <x:v>Permit path identified</x:v>
      </x:c>
      <x:c r="D15" s="116" t="str">
        <x:v>Rental business license requires zoning review; local emergency contact, safety inspection cycle and lodging-tax compliance. A business license does not override HOA restrictions.</x:v>
      </x:c>
      <x:c r="E15" s="116" t="str">
        <x:v>Verify parcel zoning and license/inspection requirements, plus condo minimum stays.</x:v>
      </x:c>
      <x:c r="F15" s="116" t="str">
        <x:v>Named municipality; parcel and HOA not cleared</x:v>
      </x:c>
      <x:c r="G15" s="78" t="str">
        <x:v>2026-09-21</x:v>
      </x:c>
      <x:c r="H15" s="78" t="str">
        <x:v>https://www.gulfshoresal.gov/780/Rental-License</x:v>
      </x:c>
    </x:row>
    <x:row r="16" ht="85" customHeight="1">
      <x:c r="A16" s="78" t="n">
        <x:v>10</x:v>
      </x:c>
      <x:c r="B16" s="78" t="str">
        <x:v>Orange Beach</x:v>
      </x:c>
      <x:c r="C16" s="102" t="str">
        <x:v>Local review not completed</x:v>
      </x:c>
      <x:c r="D16" s="116" t="str">
        <x:v>No independent local legal clearance in this edition. Confirm exact city/county, zoning, owner-occupancy rules, permit/cap availability, transfer rules, lease and HOA before spending.</x:v>
      </x:c>
      <x:c r="E16" s="116" t="str">
        <x:v>Check the vacation-rental zoning map and the association's current rental policy.</x:v>
      </x:c>
      <x:c r="F16" s="116" t="str">
        <x:v>Exact parcel jurisdiction must be established</x:v>
      </x:c>
      <x:c r="G16" s="78"/>
      <x:c r="H16" s="78"/>
    </x:row>
    <x:row r="17" ht="85" customHeight="1">
      <x:c r="A17" s="78" t="n">
        <x:v>11</x:v>
      </x:c>
      <x:c r="B17" s="78" t="str">
        <x:v>Panama City Beach</x:v>
      </x:c>
      <x:c r="C17" s="102" t="str">
        <x:v>Permit path identified</x:v>
      </x:c>
      <x:c r="D17" s="116" t="str">
        <x:v>City vacation rental certificate, annual re-registration/inspection and state/local documents required. New registration on ownership change; Bay County outside-city rules differ.</x:v>
      </x:c>
      <x:c r="E17" s="116" t="str">
        <x:v>Confirm city versus Bay County jurisdiction; a new owner needs a new city registration.</x:v>
      </x:c>
      <x:c r="F17" s="116" t="str">
        <x:v>Named municipality; parcel and HOA not cleared</x:v>
      </x:c>
      <x:c r="G17" s="78" t="str">
        <x:v>2026-09-21</x:v>
      </x:c>
      <x:c r="H17" s="78" t="str">
        <x:v>https://www.pcbfl.gov/295/Short-Term-Rentals</x:v>
      </x:c>
    </x:row>
    <x:row r="18" ht="85" customHeight="1">
      <x:c r="A18" s="78" t="n">
        <x:v>12</x:v>
      </x:c>
      <x:c r="B18" s="78" t="str">
        <x:v>Destin</x:v>
      </x:c>
      <x:c r="C18" s="102" t="str">
        <x:v>Local review not completed</x:v>
      </x:c>
      <x:c r="D18" s="116" t="str">
        <x:v>No independent local legal clearance in this edition. Confirm exact city/county, zoning, owner-occupancy rules, permit/cap availability, transfer rules, lease and HOA before spending.</x:v>
      </x:c>
      <x:c r="E18" s="116" t="str">
        <x:v>Confirm allowed zoning, possible conditional/change-of-use approval and the current registration guide.</x:v>
      </x:c>
      <x:c r="F18" s="116" t="str">
        <x:v>Exact parcel jurisdiction must be established</x:v>
      </x:c>
      <x:c r="G18" s="78"/>
      <x:c r="H18" s="78"/>
    </x:row>
    <x:row r="19" ht="85" customHeight="1">
      <x:c r="A19" s="78" t="n">
        <x:v>13</x:v>
      </x:c>
      <x:c r="B19" s="78" t="str">
        <x:v>Fort Walton Beach</x:v>
      </x:c>
      <x:c r="C19" s="102" t="str">
        <x:v>Local review not completed</x:v>
      </x:c>
      <x:c r="D19" s="116" t="str">
        <x:v>No independent local legal clearance in this edition. Confirm exact city/county, zoning, owner-occupancy rules, permit/cap availability, transfer rules, lease and HOA before spending.</x:v>
      </x:c>
      <x:c r="E19" s="116" t="str">
        <x:v>Separate city parcels from Okaloosa Island/county and confirm vacation-rental permissions.</x:v>
      </x:c>
      <x:c r="F19" s="116" t="str">
        <x:v>Exact parcel jurisdiction must be established</x:v>
      </x:c>
      <x:c r="G19" s="78"/>
      <x:c r="H19" s="78"/>
    </x:row>
    <x:row r="20" ht="85" customHeight="1">
      <x:c r="A20" s="78" t="n">
        <x:v>14</x:v>
      </x:c>
      <x:c r="B20" s="78" t="str">
        <x:v>Pensacola</x:v>
      </x:c>
      <x:c r="C20" s="102" t="str">
        <x:v>Local review not completed</x:v>
      </x:c>
      <x:c r="D20" s="116" t="str">
        <x:v>No independent local legal clearance in this edition. Confirm exact city/county, zoning, owner-occupancy rules, permit/cap availability, transfer rules, lease and HOA before spending.</x:v>
      </x:c>
      <x:c r="E20" s="116" t="str">
        <x:v>Distinguish Pensacola city, Pensacola Beach and Escambia County requirements.</x:v>
      </x:c>
      <x:c r="F20" s="116" t="str">
        <x:v>Exact parcel jurisdiction must be established</x:v>
      </x:c>
      <x:c r="G20" s="78"/>
      <x:c r="H20" s="78"/>
    </x:row>
    <x:row r="21" ht="85" customHeight="1">
      <x:c r="A21" s="78" t="n">
        <x:v>15</x:v>
      </x:c>
      <x:c r="B21" s="78" t="str">
        <x:v>Kissimmee</x:v>
      </x:c>
      <x:c r="C21" s="102" t="str">
        <x:v>Local review not completed</x:v>
      </x:c>
      <x:c r="D21" s="116" t="str">
        <x:v>No independent local legal clearance in this edition. Confirm exact city/county, zoning, owner-occupancy rules, permit/cap availability, transfer rules, lease and HOA before spending.</x:v>
      </x:c>
      <x:c r="E21" s="116" t="str">
        <x:v>Confirm city or Osceola County zoning and the exact resort/HOA rules.</x:v>
      </x:c>
      <x:c r="F21" s="116" t="str">
        <x:v>Exact parcel jurisdiction must be established</x:v>
      </x:c>
      <x:c r="G21" s="78"/>
      <x:c r="H21" s="78"/>
    </x:row>
    <x:row r="22" ht="85" customHeight="1">
      <x:c r="A22" s="78" t="n">
        <x:v>16</x:v>
      </x:c>
      <x:c r="B22" s="78" t="str">
        <x:v>Davenport</x:v>
      </x:c>
      <x:c r="C22" s="102" t="str">
        <x:v>Local review not completed</x:v>
      </x:c>
      <x:c r="D22" s="116" t="str">
        <x:v>No independent local legal clearance in this edition. Confirm exact city/county, zoning, owner-occupancy rules, permit/cap availability, transfer rules, lease and HOA before spending.</x:v>
      </x:c>
      <x:c r="E22" s="116" t="str">
        <x:v>Confirm city versus Polk County jurisdiction and that the subdivision permits STR use.</x:v>
      </x:c>
      <x:c r="F22" s="116" t="str">
        <x:v>Exact parcel jurisdiction must be established</x:v>
      </x:c>
      <x:c r="G22" s="78"/>
      <x:c r="H22" s="78"/>
    </x:row>
    <x:row r="23" ht="85" customHeight="1">
      <x:c r="A23" s="78" t="n">
        <x:v>17</x:v>
      </x:c>
      <x:c r="B23" s="78" t="str">
        <x:v>St. Augustine</x:v>
      </x:c>
      <x:c r="C23" s="102" t="str">
        <x:v>Local review not completed</x:v>
      </x:c>
      <x:c r="D23" s="116" t="str">
        <x:v>No independent local legal clearance in this edition. Confirm exact city/county, zoning, owner-occupancy rules, permit/cap availability, transfer rules, lease and HOA before spending.</x:v>
      </x:c>
      <x:c r="E23" s="116" t="str">
        <x:v>Check St. Augustine city, St. Augustine Beach and county rules separately.</x:v>
      </x:c>
      <x:c r="F23" s="116" t="str">
        <x:v>Exact parcel jurisdiction must be established</x:v>
      </x:c>
      <x:c r="G23" s="78"/>
      <x:c r="H23" s="78"/>
    </x:row>
    <x:row r="24" ht="85" customHeight="1">
      <x:c r="A24" s="78" t="n">
        <x:v>18</x:v>
      </x:c>
      <x:c r="B24" s="78" t="str">
        <x:v>Crystal River</x:v>
      </x:c>
      <x:c r="C24" s="102" t="str">
        <x:v>Local review not completed</x:v>
      </x:c>
      <x:c r="D24" s="116" t="str">
        <x:v>No independent local legal clearance in this edition. Confirm exact city/county, zoning, owner-occupancy rules, permit/cap availability, transfer rules, lease and HOA before spending.</x:v>
      </x:c>
      <x:c r="E24" s="116" t="str">
        <x:v>Confirm zoning and business/STR licensing with the correct city or county authority.</x:v>
      </x:c>
      <x:c r="F24" s="116" t="str">
        <x:v>Exact parcel jurisdiction must be established</x:v>
      </x:c>
      <x:c r="G24" s="78"/>
      <x:c r="H24" s="78"/>
    </x:row>
    <x:row r="25" ht="85" customHeight="1">
      <x:c r="A25" s="78" t="n">
        <x:v>19</x:v>
      </x:c>
      <x:c r="B25" s="78" t="str">
        <x:v>Cape Coral</x:v>
      </x:c>
      <x:c r="C25" s="102" t="str">
        <x:v>Permit path identified</x:v>
      </x:c>
      <x:c r="D25" s="116" t="str">
        <x:v>Annual residential rental registration is required from Jan. 1, 2026. Confirm the current minimum-stay rule and all state/county obligations; city registration is not HOA approval.</x:v>
      </x:c>
      <x:c r="E25" s="116" t="str">
        <x:v>Confirm annual registration and the current minimum-stay rule before forecasting turnovers.</x:v>
      </x:c>
      <x:c r="F25" s="116" t="str">
        <x:v>City only; no parcel-specific eligibility determination</x:v>
      </x:c>
      <x:c r="G25" s="78" t="str">
        <x:v>2026-09-21</x:v>
      </x:c>
      <x:c r="H25" s="78" t="str">
        <x:v>https://www.capecoral.gov/departments/city_clerk/rental_property_registration.php</x:v>
      </x:c>
    </x:row>
    <x:row r="26" ht="85" customHeight="1">
      <x:c r="A26" s="78" t="n">
        <x:v>20</x:v>
      </x:c>
      <x:c r="B26" s="78" t="str">
        <x:v>Fort Lauderdale</x:v>
      </x:c>
      <x:c r="C26" s="102" t="str">
        <x:v>Permit path identified</x:v>
      </x:c>
      <x:c r="D26" s="116" t="str">
        <x:v>State/county prerequisites precede city registration. Owner authorization, inspection and a certificate of compliance form part of the reviewed city process.</x:v>
      </x:c>
      <x:c r="E26" s="116" t="str">
        <x:v>Confirm state/county prerequisites, city registration and inspection before operation.</x:v>
      </x:c>
      <x:c r="F26" s="116" t="str">
        <x:v>City only; no parcel-specific eligibility determination</x:v>
      </x:c>
      <x:c r="G26" s="78" t="str">
        <x:v>2026-09-21</x:v>
      </x:c>
      <x:c r="H26" s="78" t="str">
        <x:v>https://fortlauderdale-redesign.prod.govaccess.org/government/departments-a-h/community-services/community-enhancement-and-compliance/administrative-services/vacation-rental-program/property-registration</x:v>
      </x:c>
    </x:row>
    <x:row r="27" ht="85" customHeight="1">
      <x:c r="A27" s="78" t="n">
        <x:v>21</x:v>
      </x:c>
      <x:c r="B27" s="78" t="str">
        <x:v>Myrtle Beach</x:v>
      </x:c>
      <x:c r="C27" s="102" t="str">
        <x:v>Local review not completed</x:v>
      </x:c>
      <x:c r="D27" s="116" t="str">
        <x:v>No independent local legal clearance in this edition. Confirm exact city/county, zoning, owner-occupancy rules, permit/cap availability, transfer rules, lease and HOA before spending.</x:v>
      </x:c>
      <x:c r="E27" s="116" t="str">
        <x:v>Check the parcel's zoning and whether the building controls rental management or minimum stays.</x:v>
      </x:c>
      <x:c r="F27" s="116" t="str">
        <x:v>Exact parcel jurisdiction must be established</x:v>
      </x:c>
      <x:c r="G27" s="78"/>
      <x:c r="H27" s="78"/>
    </x:row>
    <x:row r="28" ht="85" customHeight="1">
      <x:c r="A28" s="78" t="n">
        <x:v>22</x:v>
      </x:c>
      <x:c r="B28" s="78" t="str">
        <x:v>North Myrtle Beach</x:v>
      </x:c>
      <x:c r="C28" s="102" t="str">
        <x:v>Local review not completed</x:v>
      </x:c>
      <x:c r="D28" s="116" t="str">
        <x:v>No independent local legal clearance in this edition. Confirm exact city/county, zoning, owner-occupancy rules, permit/cap availability, transfer rules, lease and HOA before spending.</x:v>
      </x:c>
      <x:c r="E28" s="116" t="str">
        <x:v>Verify city rental permissions, licenses and property-specific occupancy/parking limits.</x:v>
      </x:c>
      <x:c r="F28" s="116" t="str">
        <x:v>Exact parcel jurisdiction must be established</x:v>
      </x:c>
      <x:c r="G28" s="78"/>
      <x:c r="H28" s="78"/>
    </x:row>
    <x:row r="29" ht="85" customHeight="1">
      <x:c r="A29" s="78" t="n">
        <x:v>23</x:v>
      </x:c>
      <x:c r="B29" s="78" t="str">
        <x:v>Hilton Head Island</x:v>
      </x:c>
      <x:c r="C29" s="102" t="str">
        <x:v>Local review not completed</x:v>
      </x:c>
      <x:c r="D29" s="116" t="str">
        <x:v>No independent local legal clearance in this edition. Confirm exact city/county, zoning, owner-occupancy rules, permit/cap availability, transfer rules, lease and HOA before spending.</x:v>
      </x:c>
      <x:c r="E29" s="116" t="str">
        <x:v>Check town STR permitting and each community's deed restrictions and amenity charges.</x:v>
      </x:c>
      <x:c r="F29" s="116" t="str">
        <x:v>Exact parcel jurisdiction must be established</x:v>
      </x:c>
      <x:c r="G29" s="78"/>
      <x:c r="H29" s="78"/>
    </x:row>
    <x:row r="30" ht="85" customHeight="1">
      <x:c r="A30" s="78" t="n">
        <x:v>24</x:v>
      </x:c>
      <x:c r="B30" s="78" t="str">
        <x:v>Charleston</x:v>
      </x:c>
      <x:c r="C30" s="102" t="str">
        <x:v>Restricted / location-dependent</x:v>
      </x:c>
      <x:c r="D30" s="116" t="str">
        <x:v>Residential versus commercial STR categories have different occupancy/zoning rules. City requires annually renewed permit, business license, inspections and accommodation-tax compliance. Do not assume ordinary whole-home investment use is approved.</x:v>
      </x:c>
      <x:c r="E30" s="116" t="str">
        <x:v>Verify the correct residential/commercial permit category, not simply an active online listing.</x:v>
      </x:c>
      <x:c r="F30" s="116" t="str">
        <x:v>Named municipality; parcel and HOA not cleared</x:v>
      </x:c>
      <x:c r="G30" s="78" t="str">
        <x:v>2026-09-21</x:v>
      </x:c>
      <x:c r="H30" s="78" t="str">
        <x:v>https://www.charleston-sc.gov/1840/Short-Term-Rental-Permit-Information</x:v>
      </x:c>
    </x:row>
    <x:row r="31" ht="85" customHeight="1">
      <x:c r="A31" s="78" t="n">
        <x:v>25</x:v>
      </x:c>
      <x:c r="B31" s="78" t="str">
        <x:v>Wilmington</x:v>
      </x:c>
      <x:c r="C31" s="102" t="str">
        <x:v>Local review not completed</x:v>
      </x:c>
      <x:c r="D31" s="116" t="str">
        <x:v>No independent local legal clearance in this edition. Confirm exact city/county, zoning, owner-occupancy rules, permit/cap availability, transfer rules, lease and HOA before spending.</x:v>
      </x:c>
      <x:c r="E31" s="116" t="str">
        <x:v>Check city versus nearby beach-town rules and obtain a property-level zoning determination.</x:v>
      </x:c>
      <x:c r="F31" s="116" t="str">
        <x:v>Exact parcel jurisdiction must be established</x:v>
      </x:c>
      <x:c r="G31" s="78"/>
      <x:c r="H31" s="78"/>
    </x:row>
    <x:row r="32" ht="85" customHeight="1">
      <x:c r="A32" s="78" t="n">
        <x:v>26</x:v>
      </x:c>
      <x:c r="B32" s="78" t="str">
        <x:v>Carolina Beach</x:v>
      </x:c>
      <x:c r="C32" s="102" t="str">
        <x:v>Local review not completed</x:v>
      </x:c>
      <x:c r="D32" s="116" t="str">
        <x:v>No independent local legal clearance in this edition. Confirm exact city/county, zoning, owner-occupancy rules, permit/cap availability, transfer rules, lease and HOA before spending.</x:v>
      </x:c>
      <x:c r="E32" s="116" t="str">
        <x:v>Confirm town rules, local tax accounts and condo/HOA rental restrictions.</x:v>
      </x:c>
      <x:c r="F32" s="116" t="str">
        <x:v>Exact parcel jurisdiction must be established</x:v>
      </x:c>
      <x:c r="G32" s="78"/>
      <x:c r="H32" s="78"/>
    </x:row>
    <x:row r="33" ht="85" customHeight="1">
      <x:c r="A33" s="78" t="n">
        <x:v>27</x:v>
      </x:c>
      <x:c r="B33" s="78" t="str">
        <x:v>Oak Island</x:v>
      </x:c>
      <x:c r="C33" s="102" t="str">
        <x:v>Local review not completed</x:v>
      </x:c>
      <x:c r="D33" s="116" t="str">
        <x:v>No independent local legal clearance in this edition. Confirm exact city/county, zoning, owner-occupancy rules, permit/cap availability, transfer rules, lease and HOA before spending.</x:v>
      </x:c>
      <x:c r="E33" s="116" t="str">
        <x:v>Verify town vacation-rental requirements and legal sleeping/parking capacity.</x:v>
      </x:c>
      <x:c r="F33" s="116" t="str">
        <x:v>Exact parcel jurisdiction must be established</x:v>
      </x:c>
      <x:c r="G33" s="78"/>
      <x:c r="H33" s="78"/>
    </x:row>
    <x:row r="34" ht="85" customHeight="1">
      <x:c r="A34" s="78" t="n">
        <x:v>28</x:v>
      </x:c>
      <x:c r="B34" s="78" t="str">
        <x:v>Nags Head</x:v>
      </x:c>
      <x:c r="C34" s="102" t="str">
        <x:v>Local review not completed</x:v>
      </x:c>
      <x:c r="D34" s="116" t="str">
        <x:v>No independent local legal clearance in this edition. Confirm exact city/county, zoning, owner-occupancy rules, permit/cap availability, transfer rules, lease and HOA before spending.</x:v>
      </x:c>
      <x:c r="E34" s="116" t="str">
        <x:v>Check town rules, septic occupancy and oceanfront/shoreline constraints.</x:v>
      </x:c>
      <x:c r="F34" s="116" t="str">
        <x:v>Exact parcel jurisdiction must be established</x:v>
      </x:c>
      <x:c r="G34" s="78"/>
      <x:c r="H34" s="78"/>
    </x:row>
    <x:row r="35" ht="85" customHeight="1">
      <x:c r="A35" s="78" t="n">
        <x:v>29</x:v>
      </x:c>
      <x:c r="B35" s="78" t="str">
        <x:v>Kill Devil Hills</x:v>
      </x:c>
      <x:c r="C35" s="102" t="str">
        <x:v>Local review not completed</x:v>
      </x:c>
      <x:c r="D35" s="116" t="str">
        <x:v>No independent local legal clearance in this edition. Confirm exact city/county, zoning, owner-occupancy rules, permit/cap availability, transfer rules, lease and HOA before spending.</x:v>
      </x:c>
      <x:c r="E35" s="116" t="str">
        <x:v>Verify town permissions and property-specific capacity and flood-zone requirements.</x:v>
      </x:c>
      <x:c r="F35" s="116" t="str">
        <x:v>Exact parcel jurisdiction must be established</x:v>
      </x:c>
      <x:c r="G35" s="78"/>
      <x:c r="H35" s="78"/>
    </x:row>
    <x:row r="36" ht="85" customHeight="1">
      <x:c r="A36" s="78" t="n">
        <x:v>30</x:v>
      </x:c>
      <x:c r="B36" s="78" t="str">
        <x:v>Corolla</x:v>
      </x:c>
      <x:c r="C36" s="102" t="str">
        <x:v>Local review not completed</x:v>
      </x:c>
      <x:c r="D36" s="116" t="str">
        <x:v>No independent local legal clearance in this edition. Confirm exact city/county, zoning, owner-occupancy rules, permit/cap availability, transfer rules, lease and HOA before spending.</x:v>
      </x:c>
      <x:c r="E36" s="116" t="str">
        <x:v>Confirm Currituck County jurisdiction, access rights and subdivision rental restrictions.</x:v>
      </x:c>
      <x:c r="F36" s="116" t="str">
        <x:v>Exact parcel jurisdiction must be established</x:v>
      </x:c>
      <x:c r="G36" s="78"/>
      <x:c r="H36" s="78"/>
    </x:row>
    <x:row r="37" ht="85" customHeight="1">
      <x:c r="A37" s="78" t="n">
        <x:v>31</x:v>
      </x:c>
      <x:c r="B37" s="78" t="str">
        <x:v>Boone</x:v>
      </x:c>
      <x:c r="C37" s="102" t="str">
        <x:v>Local review not completed</x:v>
      </x:c>
      <x:c r="D37" s="116" t="str">
        <x:v>No independent local legal clearance in this edition. Confirm exact city/county, zoning, owner-occupancy rules, permit/cap availability, transfer rules, lease and HOA before spending.</x:v>
      </x:c>
      <x:c r="E37" s="116" t="str">
        <x:v>Ask whether the precise zoning allows the intended whole-home, non-owner-occupied use.</x:v>
      </x:c>
      <x:c r="F37" s="116" t="str">
        <x:v>Exact parcel jurisdiction must be established</x:v>
      </x:c>
      <x:c r="G37" s="78"/>
      <x:c r="H37" s="78"/>
    </x:row>
    <x:row r="38" ht="85" customHeight="1">
      <x:c r="A38" s="78" t="n">
        <x:v>32</x:v>
      </x:c>
      <x:c r="B38" s="78" t="str">
        <x:v>Banner Elk</x:v>
      </x:c>
      <x:c r="C38" s="102" t="str">
        <x:v>Local review not completed</x:v>
      </x:c>
      <x:c r="D38" s="116" t="str">
        <x:v>No independent local legal clearance in this edition. Confirm exact city/county, zoning, owner-occupancy rules, permit/cap availability, transfer rules, lease and HOA before spending.</x:v>
      </x:c>
      <x:c r="E38" s="116" t="str">
        <x:v>Resolve town versus county rules and any condominium or resort restrictions.</x:v>
      </x:c>
      <x:c r="F38" s="116" t="str">
        <x:v>Exact parcel jurisdiction must be established</x:v>
      </x:c>
      <x:c r="G38" s="78"/>
      <x:c r="H38" s="78"/>
    </x:row>
    <x:row r="39" ht="85" customHeight="1">
      <x:c r="A39" s="78" t="n">
        <x:v>33</x:v>
      </x:c>
      <x:c r="B39" s="78" t="str">
        <x:v>Bryson City</x:v>
      </x:c>
      <x:c r="C39" s="102" t="str">
        <x:v>Local review not completed</x:v>
      </x:c>
      <x:c r="D39" s="116" t="str">
        <x:v>No independent local legal clearance in this edition. Confirm exact city/county, zoning, owner-occupancy rules, permit/cap availability, transfer rules, lease and HOA before spending.</x:v>
      </x:c>
      <x:c r="E39" s="116" t="str">
        <x:v>Confirm town versus Swain County requirements and septic-based capacity.</x:v>
      </x:c>
      <x:c r="F39" s="116" t="str">
        <x:v>Exact parcel jurisdiction must be established</x:v>
      </x:c>
      <x:c r="G39" s="78"/>
      <x:c r="H39" s="78"/>
    </x:row>
    <x:row r="40" ht="85" customHeight="1">
      <x:c r="A40" s="78" t="n">
        <x:v>34</x:v>
      </x:c>
      <x:c r="B40" s="78" t="str">
        <x:v>Asheville</x:v>
      </x:c>
      <x:c r="C40" s="102" t="str">
        <x:v>Restricted / location-dependent</x:v>
      </x:c>
      <x:c r="D40" s="116" t="str">
        <x:v>Whole-unit short-term vacation rentals allowed only in Resort zoning district. Residential homestays require full-time residency and are limited to one or two bedrooms; not a general whole-home arbitrage market.</x:v>
      </x:c>
      <x:c r="E40" s="116" t="str">
        <x:v>Whole-home city STVRs are limited to Resort zoning; do not apply county assumptions inside the city.</x:v>
      </x:c>
      <x:c r="F40" s="116" t="str">
        <x:v>Named municipality; parcel and HOA not cleared</x:v>
      </x:c>
      <x:c r="G40" s="78" t="str">
        <x:v>2026-09-21</x:v>
      </x:c>
      <x:c r="H40" s="78" t="str">
        <x:v>https://www.ashevillenc.gov/department/development-services/compliance-division/homestays-and-short-term-rental-violations/</x:v>
      </x:c>
    </x:row>
    <x:row r="41" ht="85" customHeight="1">
      <x:c r="A41" s="78" t="n">
        <x:v>35</x:v>
      </x:c>
      <x:c r="B41" s="78" t="str">
        <x:v>Luray</x:v>
      </x:c>
      <x:c r="C41" s="102" t="str">
        <x:v>Local review not completed</x:v>
      </x:c>
      <x:c r="D41" s="116" t="str">
        <x:v>No independent local legal clearance in this edition. Confirm exact city/county, zoning, owner-occupancy rules, permit/cap availability, transfer rules, lease and HOA before spending.</x:v>
      </x:c>
      <x:c r="E41" s="116" t="str">
        <x:v>Separate town and Page County zoning/permit processes.</x:v>
      </x:c>
      <x:c r="F41" s="116" t="str">
        <x:v>Exact parcel jurisdiction must be established</x:v>
      </x:c>
      <x:c r="G41" s="78"/>
      <x:c r="H41" s="78"/>
    </x:row>
    <x:row r="42" ht="85" customHeight="1">
      <x:c r="A42" s="78" t="n">
        <x:v>36</x:v>
      </x:c>
      <x:c r="B42" s="78" t="str">
        <x:v>Front Royal</x:v>
      </x:c>
      <x:c r="C42" s="102" t="str">
        <x:v>Local review not completed</x:v>
      </x:c>
      <x:c r="D42" s="116" t="str">
        <x:v>No independent local legal clearance in this edition. Confirm exact city/county, zoning, owner-occupancy rules, permit/cap availability, transfer rules, lease and HOA before spending.</x:v>
      </x:c>
      <x:c r="E42" s="116" t="str">
        <x:v>Verify town versus Warren County rules, conditional approvals and riverfront limitations.</x:v>
      </x:c>
      <x:c r="F42" s="116" t="str">
        <x:v>Exact parcel jurisdiction must be established</x:v>
      </x:c>
      <x:c r="G42" s="78"/>
      <x:c r="H42" s="78"/>
    </x:row>
    <x:row r="43" ht="85" customHeight="1">
      <x:c r="A43" s="78" t="n">
        <x:v>37</x:v>
      </x:c>
      <x:c r="B43" s="78" t="str">
        <x:v>Massanutten</x:v>
      </x:c>
      <x:c r="C43" s="102" t="str">
        <x:v>Local review not completed</x:v>
      </x:c>
      <x:c r="D43" s="116" t="str">
        <x:v>No independent local legal clearance in this edition. Confirm exact city/county, zoning, owner-occupancy rules, permit/cap availability, transfer rules, lease and HOA before spending.</x:v>
      </x:c>
      <x:c r="E43" s="116" t="str">
        <x:v>Confirm Rockingham County/local jurisdiction, resort covenants and permit eligibility.</x:v>
      </x:c>
      <x:c r="F43" s="116" t="str">
        <x:v>Exact parcel jurisdiction must be established</x:v>
      </x:c>
      <x:c r="G43" s="78"/>
      <x:c r="H43" s="78"/>
    </x:row>
    <x:row r="44" ht="85" customHeight="1">
      <x:c r="A44" s="78" t="n">
        <x:v>38</x:v>
      </x:c>
      <x:c r="B44" s="78" t="str">
        <x:v>Stowe</x:v>
      </x:c>
      <x:c r="C44" s="102" t="str">
        <x:v>Local review not completed</x:v>
      </x:c>
      <x:c r="D44" s="116" t="str">
        <x:v>No independent local legal clearance in this edition. Confirm exact city/county, zoning, owner-occupancy rules, permit/cap availability, transfer rules, lease and HOA before spending.</x:v>
      </x:c>
      <x:c r="E44" s="116" t="str">
        <x:v>Confirm town registration/zoning and any resort or condominium rental terms.</x:v>
      </x:c>
      <x:c r="F44" s="116" t="str">
        <x:v>Exact parcel jurisdiction must be established</x:v>
      </x:c>
      <x:c r="G44" s="78"/>
      <x:c r="H44" s="78"/>
    </x:row>
    <x:row r="45" ht="85" customHeight="1">
      <x:c r="A45" s="78" t="n">
        <x:v>39</x:v>
      </x:c>
      <x:c r="B45" s="78" t="str">
        <x:v>Tobyhanna</x:v>
      </x:c>
      <x:c r="C45" s="102" t="str">
        <x:v>Local review not completed</x:v>
      </x:c>
      <x:c r="D45" s="116" t="str">
        <x:v>No independent local legal clearance in this edition. Confirm exact city/county, zoning, owner-occupancy rules, permit/cap availability, transfer rules, lease and HOA before spending.</x:v>
      </x:c>
      <x:c r="E45" s="116" t="str">
        <x:v>Identify the actual township; a mailing address does not establish the applicable STR ordinance.</x:v>
      </x:c>
      <x:c r="F45" s="116" t="str">
        <x:v>Exact parcel jurisdiction must be established</x:v>
      </x:c>
      <x:c r="G45" s="78"/>
      <x:c r="H45" s="78"/>
    </x:row>
    <x:row r="46" ht="85" customHeight="1">
      <x:c r="A46" s="78" t="n">
        <x:v>40</x:v>
      </x:c>
      <x:c r="B46" s="78" t="str">
        <x:v>Pocono Pines</x:v>
      </x:c>
      <x:c r="C46" s="102" t="str">
        <x:v>Local review not completed</x:v>
      </x:c>
      <x:c r="D46" s="116" t="str">
        <x:v>No independent local legal clearance in this edition. Confirm exact city/county, zoning, owner-occupancy rules, permit/cap availability, transfer rules, lease and HOA before spending.</x:v>
      </x:c>
      <x:c r="E46" s="116" t="str">
        <x:v>Confirm township rules and association rental/amenity eligibility in writing.</x:v>
      </x:c>
      <x:c r="F46" s="116" t="str">
        <x:v>Exact parcel jurisdiction must be established</x:v>
      </x:c>
      <x:c r="G46" s="78"/>
      <x:c r="H46" s="78"/>
    </x:row>
    <x:row r="47" ht="85" customHeight="1">
      <x:c r="A47" s="78" t="n">
        <x:v>41</x:v>
      </x:c>
      <x:c r="B47" s="78" t="str">
        <x:v>Jim Thorpe</x:v>
      </x:c>
      <x:c r="C47" s="102" t="str">
        <x:v>Local review not completed</x:v>
      </x:c>
      <x:c r="D47" s="116" t="str">
        <x:v>No independent local legal clearance in this edition. Confirm exact city/county, zoning, owner-occupancy rules, permit/cap availability, transfer rules, lease and HOA before spending.</x:v>
      </x:c>
      <x:c r="E47" s="116" t="str">
        <x:v>Check borough zoning and licensing for the exact proposed lodging use.</x:v>
      </x:c>
      <x:c r="F47" s="116" t="str">
        <x:v>Exact parcel jurisdiction must be established</x:v>
      </x:c>
      <x:c r="G47" s="78"/>
      <x:c r="H47" s="78"/>
    </x:row>
    <x:row r="48" ht="85" customHeight="1">
      <x:c r="A48" s="78" t="n">
        <x:v>42</x:v>
      </x:c>
      <x:c r="B48" s="78" t="str">
        <x:v>Lake Harmony</x:v>
      </x:c>
      <x:c r="C48" s="102" t="str">
        <x:v>Local review not completed</x:v>
      </x:c>
      <x:c r="D48" s="116" t="str">
        <x:v>No independent local legal clearance in this edition. Confirm exact city/county, zoning, owner-occupancy rules, permit/cap availability, transfer rules, lease and HOA before spending.</x:v>
      </x:c>
      <x:c r="E48" s="116" t="str">
        <x:v>Confirm township jurisdiction, permit status and documented lake/HOA access.</x:v>
      </x:c>
      <x:c r="F48" s="116" t="str">
        <x:v>Exact parcel jurisdiction must be established</x:v>
      </x:c>
      <x:c r="G48" s="78"/>
      <x:c r="H48" s="78"/>
    </x:row>
    <x:row r="49" ht="85" customHeight="1">
      <x:c r="A49" s="78" t="n">
        <x:v>43</x:v>
      </x:c>
      <x:c r="B49" s="78" t="str">
        <x:v>Lancaster</x:v>
      </x:c>
      <x:c r="C49" s="102" t="str">
        <x:v>Local review not completed</x:v>
      </x:c>
      <x:c r="D49" s="116" t="str">
        <x:v>No independent local legal clearance in this edition. Confirm exact city/county, zoning, owner-occupancy rules, permit/cap availability, transfer rules, lease and HOA before spending.</x:v>
      </x:c>
      <x:c r="E49" s="116" t="str">
        <x:v>Separate Lancaster city from surrounding townships and confirm lodging zoning.</x:v>
      </x:c>
      <x:c r="F49" s="116" t="str">
        <x:v>Exact parcel jurisdiction must be established</x:v>
      </x:c>
      <x:c r="G49" s="78"/>
      <x:c r="H49" s="78"/>
    </x:row>
    <x:row r="50" ht="85" customHeight="1">
      <x:c r="A50" s="78" t="n">
        <x:v>44</x:v>
      </x:c>
      <x:c r="B50" s="78" t="str">
        <x:v>Gettysburg</x:v>
      </x:c>
      <x:c r="C50" s="102" t="str">
        <x:v>Local review not completed</x:v>
      </x:c>
      <x:c r="D50" s="116" t="str">
        <x:v>No independent local legal clearance in this edition. Confirm exact city/county, zoning, owner-occupancy rules, permit/cap availability, transfer rules, lease and HOA before spending.</x:v>
      </x:c>
      <x:c r="E50" s="116" t="str">
        <x:v>Verify borough versus township zoning and any B&amp;B/STR classification distinction.</x:v>
      </x:c>
      <x:c r="F50" s="116" t="str">
        <x:v>Exact parcel jurisdiction must be established</x:v>
      </x:c>
      <x:c r="G50" s="78"/>
      <x:c r="H50" s="78"/>
    </x:row>
    <x:row r="51" ht="85" customHeight="1">
      <x:c r="A51" s="78" t="n">
        <x:v>45</x:v>
      </x:c>
      <x:c r="B51" s="78" t="str">
        <x:v>Logan</x:v>
      </x:c>
      <x:c r="C51" s="102" t="str">
        <x:v>Local review not completed</x:v>
      </x:c>
      <x:c r="D51" s="116" t="str">
        <x:v>No independent local legal clearance in this edition. Confirm exact city/county, zoning, owner-occupancy rules, permit/cap availability, transfer rules, lease and HOA before spending.</x:v>
      </x:c>
      <x:c r="E51" s="116" t="str">
        <x:v>Identify city versus Hocking County rules and private development covenants.</x:v>
      </x:c>
      <x:c r="F51" s="116" t="str">
        <x:v>Exact parcel jurisdiction must be established</x:v>
      </x:c>
      <x:c r="G51" s="78"/>
      <x:c r="H51" s="78"/>
    </x:row>
    <x:row r="52" ht="85" customHeight="1">
      <x:c r="A52" s="78" t="n">
        <x:v>46</x:v>
      </x:c>
      <x:c r="B52" s="78" t="str">
        <x:v>Sandusky</x:v>
      </x:c>
      <x:c r="C52" s="102" t="str">
        <x:v>Local review not completed</x:v>
      </x:c>
      <x:c r="D52" s="116" t="str">
        <x:v>No independent local legal clearance in this edition. Confirm exact city/county, zoning, owner-occupancy rules, permit/cap availability, transfer rules, lease and HOA before spending.</x:v>
      </x:c>
      <x:c r="E52" s="116" t="str">
        <x:v>Verify zoning, permits and any seasonal or occupancy limitations for the parcel.</x:v>
      </x:c>
      <x:c r="F52" s="116" t="str">
        <x:v>Exact parcel jurisdiction must be established</x:v>
      </x:c>
      <x:c r="G52" s="78"/>
      <x:c r="H52" s="78"/>
    </x:row>
    <x:row r="53" ht="85" customHeight="1">
      <x:c r="A53" s="78" t="n">
        <x:v>47</x:v>
      </x:c>
      <x:c r="B53" s="78" t="str">
        <x:v>Traverse City</x:v>
      </x:c>
      <x:c r="C53" s="102" t="str">
        <x:v>Local review not completed</x:v>
      </x:c>
      <x:c r="D53" s="116" t="str">
        <x:v>No independent local legal clearance in this edition. Confirm exact city/county, zoning, owner-occupancy rules, permit/cap availability, transfer rules, lease and HOA before spending.</x:v>
      </x:c>
      <x:c r="E53" s="116" t="str">
        <x:v>Check city permit categories and township rules separately; do not assume inventory implies availability.</x:v>
      </x:c>
      <x:c r="F53" s="116" t="str">
        <x:v>Exact parcel jurisdiction must be established</x:v>
      </x:c>
      <x:c r="G53" s="78"/>
      <x:c r="H53" s="78"/>
    </x:row>
    <x:row r="54" ht="85" customHeight="1">
      <x:c r="A54" s="78" t="n">
        <x:v>48</x:v>
      </x:c>
      <x:c r="B54" s="78" t="str">
        <x:v>New Buffalo</x:v>
      </x:c>
      <x:c r="C54" s="102" t="str">
        <x:v>Restricted / location-dependent</x:v>
      </x:c>
      <x:c r="D54" s="116" t="str">
        <x:v>Adopted Ordinance 253 prohibits NEW STRs in R-1/R-2/R-3, except qualifying nonconforming uses. Verify lawful existing status, renewal, abandonment and transfer treatment with city; township differs.</x:v>
      </x:c>
      <x:c r="E54" s="116" t="str">
        <x:v>City R-1/R-2/R-3 new STR restrictions differ from township rules; establish any lawful nonconforming rights.</x:v>
      </x:c>
      <x:c r="F54" s="116" t="str">
        <x:v>Named municipality; parcel and HOA not cleared</x:v>
      </x:c>
      <x:c r="G54" s="78" t="str">
        <x:v>2026-09-21</x:v>
      </x:c>
      <x:c r="H54" s="78" t="str">
        <x:v>https://ecode360.com/NE3636/laws/LF1451881.pdf</x:v>
      </x:c>
    </x:row>
    <x:row r="55" ht="85" customHeight="1">
      <x:c r="A55" s="78" t="n">
        <x:v>49</x:v>
      </x:c>
      <x:c r="B55" s="78" t="str">
        <x:v>Wisconsin Dells</x:v>
      </x:c>
      <x:c r="C55" s="102" t="str">
        <x:v>Local review not completed</x:v>
      </x:c>
      <x:c r="D55" s="116" t="str">
        <x:v>No independent local legal clearance in this edition. Confirm exact city/county, zoning, owner-occupancy rules, permit/cap availability, transfer rules, lease and HOA before spending.</x:v>
      </x:c>
      <x:c r="E55" s="116" t="str">
        <x:v>Check the municipality, tourist-rooming-house requirements and resort agreements.</x:v>
      </x:c>
      <x:c r="F55" s="116" t="str">
        <x:v>Exact parcel jurisdiction must be established</x:v>
      </x:c>
      <x:c r="G55" s="78"/>
      <x:c r="H55" s="78"/>
    </x:row>
    <x:row r="56" ht="85" customHeight="1">
      <x:c r="A56" s="78" t="n">
        <x:v>50</x:v>
      </x:c>
      <x:c r="B56" s="78" t="str">
        <x:v>Lake Geneva</x:v>
      </x:c>
      <x:c r="C56" s="102" t="str">
        <x:v>Local review not completed</x:v>
      </x:c>
      <x:c r="D56" s="116" t="str">
        <x:v>No independent local legal clearance in this edition. Confirm exact city/county, zoning, owner-occupancy rules, permit/cap availability, transfer rules, lease and HOA before spending.</x:v>
      </x:c>
      <x:c r="E56" s="116" t="str">
        <x:v>Verify local zoning and licensing and distinguish city from surrounding towns.</x:v>
      </x:c>
      <x:c r="F56" s="116" t="str">
        <x:v>Exact parcel jurisdiction must be established</x:v>
      </x:c>
      <x:c r="G56" s="78"/>
      <x:c r="H56" s="78"/>
    </x:row>
    <x:row r="57" ht="85" customHeight="1">
      <x:c r="A57" s="78" t="n">
        <x:v>51</x:v>
      </x:c>
      <x:c r="B57" s="78" t="str">
        <x:v>Osage Beach</x:v>
      </x:c>
      <x:c r="C57" s="102" t="str">
        <x:v>Local review not completed</x:v>
      </x:c>
      <x:c r="D57" s="116" t="str">
        <x:v>No independent local legal clearance in this edition. Confirm exact city/county, zoning, owner-occupancy rules, permit/cap availability, transfer rules, lease and HOA before spending.</x:v>
      </x:c>
      <x:c r="E57" s="116" t="str">
        <x:v>Check city rules, condo declarations and legal use of docks and shared amenities.</x:v>
      </x:c>
      <x:c r="F57" s="116" t="str">
        <x:v>Exact parcel jurisdiction must be established</x:v>
      </x:c>
      <x:c r="G57" s="78"/>
      <x:c r="H57" s="78"/>
    </x:row>
    <x:row r="58" ht="85" customHeight="1">
      <x:c r="A58" s="78" t="n">
        <x:v>52</x:v>
      </x:c>
      <x:c r="B58" s="78" t="str">
        <x:v>Eureka Springs</x:v>
      </x:c>
      <x:c r="C58" s="102" t="str">
        <x:v>Local review not completed</x:v>
      </x:c>
      <x:c r="D58" s="116" t="str">
        <x:v>No independent local legal clearance in this edition. Confirm exact city/county, zoning, owner-occupancy rules, permit/cap availability, transfer rules, lease and HOA before spending.</x:v>
      </x:c>
      <x:c r="E58" s="116" t="str">
        <x:v>Confirm zoning and whether the operation is classified as tourist lodging, B&amp;B or STR.</x:v>
      </x:c>
      <x:c r="F58" s="116" t="str">
        <x:v>Exact parcel jurisdiction must be established</x:v>
      </x:c>
      <x:c r="G58" s="78"/>
      <x:c r="H58" s="78"/>
    </x:row>
    <x:row r="59" ht="85" customHeight="1">
      <x:c r="A59" s="78" t="n">
        <x:v>53</x:v>
      </x:c>
      <x:c r="B59" s="78" t="str">
        <x:v>Fredericksburg</x:v>
      </x:c>
      <x:c r="C59" s="102" t="str">
        <x:v>Local review not completed</x:v>
      </x:c>
      <x:c r="D59" s="116" t="str">
        <x:v>No independent local legal clearance in this edition. Confirm exact city/county, zoning, owner-occupancy rules, permit/cap availability, transfer rules, lease and HOA before spending.</x:v>
      </x:c>
      <x:c r="E59" s="116" t="str">
        <x:v>Confirm city versus Gillespie County rules and the current permit category/cap position.</x:v>
      </x:c>
      <x:c r="F59" s="116" t="str">
        <x:v>Exact parcel jurisdiction must be established</x:v>
      </x:c>
      <x:c r="G59" s="78"/>
      <x:c r="H59" s="78"/>
    </x:row>
    <x:row r="60" ht="85" customHeight="1">
      <x:c r="A60" s="78" t="n">
        <x:v>54</x:v>
      </x:c>
      <x:c r="B60" s="78" t="str">
        <x:v>New Braunfels</x:v>
      </x:c>
      <x:c r="C60" s="102" t="str">
        <x:v>Local review not completed</x:v>
      </x:c>
      <x:c r="D60" s="116" t="str">
        <x:v>No independent local legal clearance in this edition. Confirm exact city/county, zoning, owner-occupancy rules, permit/cap availability, transfer rules, lease and HOA before spending.</x:v>
      </x:c>
      <x:c r="E60" s="116" t="str">
        <x:v>Verify which zones allow non-owner-occupied STRs and any special-use approval.</x:v>
      </x:c>
      <x:c r="F60" s="116" t="str">
        <x:v>Exact parcel jurisdiction must be established</x:v>
      </x:c>
      <x:c r="G60" s="78"/>
      <x:c r="H60" s="78"/>
    </x:row>
    <x:row r="61" ht="85" customHeight="1">
      <x:c r="A61" s="78" t="n">
        <x:v>55</x:v>
      </x:c>
      <x:c r="B61" s="78" t="str">
        <x:v>Galveston</x:v>
      </x:c>
      <x:c r="C61" s="102" t="str">
        <x:v>Local review not completed</x:v>
      </x:c>
      <x:c r="D61" s="116" t="str">
        <x:v>No independent local legal clearance in this edition. Confirm exact city/county, zoning, owner-occupancy rules, permit/cap availability, transfer rules, lease and HOA before spending.</x:v>
      </x:c>
      <x:c r="E61" s="116" t="str">
        <x:v>Confirm registration, local hotel-tax accounts and any historic/HOA restrictions.</x:v>
      </x:c>
      <x:c r="F61" s="116" t="str">
        <x:v>Exact parcel jurisdiction must be established</x:v>
      </x:c>
      <x:c r="G61" s="78"/>
      <x:c r="H61" s="78"/>
    </x:row>
    <x:row r="62" ht="85" customHeight="1">
      <x:c r="A62" s="78" t="n">
        <x:v>56</x:v>
      </x:c>
      <x:c r="B62" s="78" t="str">
        <x:v>Port Aransas</x:v>
      </x:c>
      <x:c r="C62" s="102" t="str">
        <x:v>Local review not completed</x:v>
      </x:c>
      <x:c r="D62" s="116" t="str">
        <x:v>No independent local legal clearance in this edition. Confirm exact city/county, zoning, owner-occupancy rules, permit/cap availability, transfer rules, lease and HOA before spending.</x:v>
      </x:c>
      <x:c r="E62" s="116" t="str">
        <x:v>Check rental registration/zoning, capacity and subdivision rules.</x:v>
      </x:c>
      <x:c r="F62" s="116" t="str">
        <x:v>Exact parcel jurisdiction must be established</x:v>
      </x:c>
      <x:c r="G62" s="78"/>
      <x:c r="H62" s="78"/>
    </x:row>
    <x:row r="63" ht="85" customHeight="1">
      <x:c r="A63" s="78" t="n">
        <x:v>57</x:v>
      </x:c>
      <x:c r="B63" s="78" t="str">
        <x:v>Waco</x:v>
      </x:c>
      <x:c r="C63" s="102" t="str">
        <x:v>Local review not completed</x:v>
      </x:c>
      <x:c r="D63" s="116" t="str">
        <x:v>No independent local legal clearance in this edition. Confirm exact city/county, zoning, owner-occupancy rules, permit/cap availability, transfer rules, lease and HOA before spending.</x:v>
      </x:c>
      <x:c r="E63" s="116" t="str">
        <x:v>Confirm zoning, STR type and whether a special permit is necessary.</x:v>
      </x:c>
      <x:c r="F63" s="116" t="str">
        <x:v>Exact parcel jurisdiction must be established</x:v>
      </x:c>
      <x:c r="G63" s="78"/>
      <x:c r="H63" s="78"/>
    </x:row>
    <x:row r="64" ht="85" customHeight="1">
      <x:c r="A64" s="78" t="n">
        <x:v>58</x:v>
      </x:c>
      <x:c r="B64" s="78" t="str">
        <x:v>San Antonio</x:v>
      </x:c>
      <x:c r="C64" s="102" t="str">
        <x:v>Restricted / location-dependent</x:v>
      </x:c>
      <x:c r="D64" s="116" t="str">
        <x:v>Type 1/Type 2 permits; zoning exceptions and Type 2 density limit can trigger special exception. Permits valid three years and non-transferable; city determines eligibility through application.</x:v>
      </x:c>
      <x:c r="E64" s="116" t="str">
        <x:v>Type 2 density and zoning must be checked through the city permit process.</x:v>
      </x:c>
      <x:c r="F64" s="116" t="str">
        <x:v>Named municipality; parcel and HOA not cleared</x:v>
      </x:c>
      <x:c r="G64" s="78" t="str">
        <x:v>2026-09-21</x:v>
      </x:c>
      <x:c r="H64" s="78" t="str">
        <x:v>https://www.sa.gov/Directory/Departments/DSD/STR/Permits</x:v>
      </x:c>
    </x:row>
    <x:row r="65" ht="85" customHeight="1">
      <x:c r="A65" s="78" t="n">
        <x:v>59</x:v>
      </x:c>
      <x:c r="B65" s="78" t="str">
        <x:v>Houston</x:v>
      </x:c>
      <x:c r="C65" s="102" t="str">
        <x:v>Permit path identified</x:v>
      </x:c>
      <x:c r="D65" s="116" t="str">
        <x:v>City certificate of registration and displayed registration number required. Application submission alone is not approval; owner authorization, private covenants and tax obligations still need review.</x:v>
      </x:c>
      <x:c r="E65" s="116" t="str">
        <x:v>Obtain the registration certificate and written owner authorization; an application is not an approval.</x:v>
      </x:c>
      <x:c r="F65" s="116" t="str">
        <x:v>Named municipality; parcel and HOA not cleared</x:v>
      </x:c>
      <x:c r="G65" s="78" t="str">
        <x:v>2026-09-21</x:v>
      </x:c>
      <x:c r="H65" s="78" t="str">
        <x:v>https://houstontx.gov/ara/str.html</x:v>
      </x:c>
    </x:row>
    <x:row r="66" ht="85" customHeight="1">
      <x:c r="A66" s="78" t="n">
        <x:v>60</x:v>
      </x:c>
      <x:c r="B66" s="78" t="str">
        <x:v>Abilene</x:v>
      </x:c>
      <x:c r="C66" s="102" t="str">
        <x:v>Local review not completed</x:v>
      </x:c>
      <x:c r="D66" s="116" t="str">
        <x:v>No independent local legal clearance in this edition. Confirm exact city/county, zoning, owner-occupancy rules, permit/cap availability, transfer rules, lease and HOA before spending.</x:v>
      </x:c>
      <x:c r="E66" s="116" t="str">
        <x:v>Confirm local zoning and registration; verify demand duration before signing a long lease.</x:v>
      </x:c>
      <x:c r="F66" s="116" t="str">
        <x:v>Exact parcel jurisdiction must be established</x:v>
      </x:c>
      <x:c r="G66" s="78"/>
      <x:c r="H66" s="78"/>
    </x:row>
    <x:row r="67" ht="85" customHeight="1">
      <x:c r="A67" s="78" t="n">
        <x:v>61</x:v>
      </x:c>
      <x:c r="B67" s="78" t="str">
        <x:v>Port Arthur</x:v>
      </x:c>
      <x:c r="C67" s="102" t="str">
        <x:v>Local review not completed</x:v>
      </x:c>
      <x:c r="D67" s="116" t="str">
        <x:v>No independent local legal clearance in this edition. Confirm exact city/county, zoning, owner-occupancy rules, permit/cap availability, transfer rules, lease and HOA before spending.</x:v>
      </x:c>
      <x:c r="E67" s="116" t="str">
        <x:v>Confirm local STR rules and whether the intended stay pattern is regulated differently.</x:v>
      </x:c>
      <x:c r="F67" s="116" t="str">
        <x:v>Exact parcel jurisdiction must be established</x:v>
      </x:c>
      <x:c r="G67" s="78"/>
      <x:c r="H67" s="78"/>
    </x:row>
    <x:row r="68" ht="85" customHeight="1">
      <x:c r="A68" s="78" t="n">
        <x:v>62</x:v>
      </x:c>
      <x:c r="B68" s="78" t="str">
        <x:v>Oklahoma City</x:v>
      </x:c>
      <x:c r="C68" s="102" t="str">
        <x:v>Local review not completed</x:v>
      </x:c>
      <x:c r="D68" s="116" t="str">
        <x:v>No independent local legal clearance in this edition. Confirm exact city/county, zoning, owner-occupancy rules, permit/cap availability, transfer rules, lease and HOA before spending.</x:v>
      </x:c>
      <x:c r="E68" s="116" t="str">
        <x:v>Verify city home-sharing license/zoning requirements and non-owner-occupied eligibility.</x:v>
      </x:c>
      <x:c r="F68" s="116" t="str">
        <x:v>Exact parcel jurisdiction must be established</x:v>
      </x:c>
      <x:c r="G68" s="78"/>
      <x:c r="H68" s="78"/>
    </x:row>
    <x:row r="69" ht="85" customHeight="1">
      <x:c r="A69" s="78" t="n">
        <x:v>63</x:v>
      </x:c>
      <x:c r="B69" s="78" t="str">
        <x:v>Tulsa</x:v>
      </x:c>
      <x:c r="C69" s="102" t="str">
        <x:v>Local review not completed</x:v>
      </x:c>
      <x:c r="D69" s="116" t="str">
        <x:v>No independent local legal clearance in this edition. Confirm exact city/county, zoning, owner-occupancy rules, permit/cap availability, transfer rules, lease and HOA before spending.</x:v>
      </x:c>
      <x:c r="E69" s="116" t="str">
        <x:v>Confirm current city licensing, contact-person and property-use requirements.</x:v>
      </x:c>
      <x:c r="F69" s="116" t="str">
        <x:v>Exact parcel jurisdiction must be established</x:v>
      </x:c>
      <x:c r="G69" s="78"/>
      <x:c r="H69" s="78"/>
    </x:row>
    <x:row r="70" ht="85" customHeight="1">
      <x:c r="A70" s="78" t="n">
        <x:v>64</x:v>
      </x:c>
      <x:c r="B70" s="78" t="str">
        <x:v>Bentonville</x:v>
      </x:c>
      <x:c r="C70" s="102" t="str">
        <x:v>Local review not completed</x:v>
      </x:c>
      <x:c r="D70" s="116" t="str">
        <x:v>No independent local legal clearance in this edition. Confirm exact city/county, zoning, owner-occupancy rules, permit/cap availability, transfer rules, lease and HOA before spending.</x:v>
      </x:c>
      <x:c r="E70" s="116" t="str">
        <x:v>Check city STR licensing and zoning for the exact property and operating model.</x:v>
      </x:c>
      <x:c r="F70" s="116" t="str">
        <x:v>Exact parcel jurisdiction must be established</x:v>
      </x:c>
      <x:c r="G70" s="78"/>
      <x:c r="H70" s="78"/>
    </x:row>
    <x:row r="71" ht="85" customHeight="1">
      <x:c r="A71" s="78" t="n">
        <x:v>65</x:v>
      </x:c>
      <x:c r="B71" s="78" t="str">
        <x:v>Fayetteville</x:v>
      </x:c>
      <x:c r="C71" s="102" t="str">
        <x:v>Restricted / location-dependent</x:v>
      </x:c>
      <x:c r="D71" s="116" t="str">
        <x:v>City states Type 2 cap of 475 has been reached and uses a waitlist. Residential Type 2 use also requires conditional-use approval; do not buy assuming a new permit is available.</x:v>
      </x:c>
      <x:c r="E71" s="116" t="str">
        <x:v>City Type 2 cap/waitlist and residential conditional-use requirements are first-order gates.</x:v>
      </x:c>
      <x:c r="F71" s="116" t="str">
        <x:v>Named municipality; parcel and HOA not cleared</x:v>
      </x:c>
      <x:c r="G71" s="78" t="str">
        <x:v>2026-09-21</x:v>
      </x:c>
      <x:c r="H71" s="78" t="str">
        <x:v>https://www.fayetteville-ar.gov/3801/Short-Term-Rentals</x:v>
      </x:c>
    </x:row>
    <x:row r="72" ht="85" customHeight="1">
      <x:c r="A72" s="78" t="n">
        <x:v>66</x:v>
      </x:c>
      <x:c r="B72" s="78" t="str">
        <x:v>Huntsville</x:v>
      </x:c>
      <x:c r="C72" s="102" t="str">
        <x:v>Local review not completed</x:v>
      </x:c>
      <x:c r="D72" s="116" t="str">
        <x:v>No independent local legal clearance in this edition. Confirm exact city/county, zoning, owner-occupancy rules, permit/cap availability, transfer rules, lease and HOA before spending.</x:v>
      </x:c>
      <x:c r="E72" s="116" t="str">
        <x:v>Confirm whether transient lodging is allowed in the specific zoning district.</x:v>
      </x:c>
      <x:c r="F72" s="116" t="str">
        <x:v>Exact parcel jurisdiction must be established</x:v>
      </x:c>
      <x:c r="G72" s="78"/>
      <x:c r="H72" s="78"/>
    </x:row>
    <x:row r="73" ht="85" customHeight="1">
      <x:c r="A73" s="78" t="n">
        <x:v>67</x:v>
      </x:c>
      <x:c r="B73" s="78" t="str">
        <x:v>Birmingham</x:v>
      </x:c>
      <x:c r="C73" s="102" t="str">
        <x:v>Local review not completed</x:v>
      </x:c>
      <x:c r="D73" s="116" t="str">
        <x:v>No independent local legal clearance in this edition. Confirm exact city/county, zoning, owner-occupancy rules, permit/cap availability, transfer rules, lease and HOA before spending.</x:v>
      </x:c>
      <x:c r="E73" s="116" t="str">
        <x:v>Confirm city rental/STR rules and neighborhood-specific zoning before relying on price alone.</x:v>
      </x:c>
      <x:c r="F73" s="116" t="str">
        <x:v>Exact parcel jurisdiction must be established</x:v>
      </x:c>
      <x:c r="G73" s="78"/>
      <x:c r="H73" s="78"/>
    </x:row>
    <x:row r="74" ht="85" customHeight="1">
      <x:c r="A74" s="78" t="n">
        <x:v>68</x:v>
      </x:c>
      <x:c r="B74" s="78" t="str">
        <x:v>Montgomery</x:v>
      </x:c>
      <x:c r="C74" s="102" t="str">
        <x:v>Local review not completed</x:v>
      </x:c>
      <x:c r="D74" s="116" t="str">
        <x:v>No independent local legal clearance in this edition. Confirm exact city/county, zoning, owner-occupancy rules, permit/cap availability, transfer rules, lease and HOA before spending.</x:v>
      </x:c>
      <x:c r="E74" s="116" t="str">
        <x:v>Check city licensing and permitted-use classification for transient lodging.</x:v>
      </x:c>
      <x:c r="F74" s="116" t="str">
        <x:v>Exact parcel jurisdiction must be established</x:v>
      </x:c>
      <x:c r="G74" s="78"/>
      <x:c r="H74" s="78"/>
    </x:row>
    <x:row r="75" ht="85" customHeight="1">
      <x:c r="A75" s="78" t="n">
        <x:v>69</x:v>
      </x:c>
      <x:c r="B75" s="78" t="str">
        <x:v>Louisville</x:v>
      </x:c>
      <x:c r="C75" s="102" t="str">
        <x:v>Permit path identified</x:v>
      </x:c>
      <x:c r="D75" s="116" t="str">
        <x:v>Local STR registration and zoning/conditional-use review apply; owner residency and building type matter. Check the applicable incorporated-city rules within metro as well.</x:v>
      </x:c>
      <x:c r="E75" s="116" t="str">
        <x:v>Check annual registration and zoning/CUP requirements, especially multifamily restrictions.</x:v>
      </x:c>
      <x:c r="F75" s="116" t="str">
        <x:v>Named municipality; parcel and HOA not cleared</x:v>
      </x:c>
      <x:c r="G75" s="78" t="str">
        <x:v>2026-09-21</x:v>
      </x:c>
      <x:c r="H75" s="78" t="str">
        <x:v>https://louisvilleky.gov/government/office-planning/short-term-rental-information</x:v>
      </x:c>
    </x:row>
    <x:row r="76" ht="85" customHeight="1">
      <x:c r="A76" s="78" t="n">
        <x:v>70</x:v>
      </x:c>
      <x:c r="B76" s="78" t="str">
        <x:v>Lexington</x:v>
      </x:c>
      <x:c r="C76" s="102" t="str">
        <x:v>Permit path identified</x:v>
      </x:c>
      <x:c r="D76" s="116" t="str">
        <x:v>Zoning compliance permit, business license and annually renewed special-fees license required. Confirm hosted/unhosted use and site-specific approvals.</x:v>
      </x:c>
      <x:c r="E76" s="116" t="str">
        <x:v>Obtain zoning compliance, business and special-fees licenses before operation.</x:v>
      </x:c>
      <x:c r="F76" s="116" t="str">
        <x:v>Named municipality; parcel and HOA not cleared</x:v>
      </x:c>
      <x:c r="G76" s="78" t="str">
        <x:v>2026-09-21</x:v>
      </x:c>
      <x:c r="H76" s="78" t="str">
        <x:v>https://www.lexingtonky.gov/working/business-licensing-taxes/short-term-rentals-strs/short-term-rentals-licensure-requirements-permitting</x:v>
      </x:c>
    </x:row>
    <x:row r="77" ht="85" customHeight="1">
      <x:c r="A77" s="78" t="n">
        <x:v>71</x:v>
      </x:c>
      <x:c r="B77" s="78" t="str">
        <x:v>Indianapolis</x:v>
      </x:c>
      <x:c r="C77" s="102" t="str">
        <x:v>Permit path identified</x:v>
      </x:c>
      <x:c r="D77" s="116" t="str">
        <x:v>Chapter 852 establishes annual per-unit STR permitting through business/neighborhood services; owner application and safety compliance apply. Confirm current city implementation and address.</x:v>
      </x:c>
      <x:c r="E77" s="116" t="str">
        <x:v>Confirm annual unit permit and safety requirements; owner authorization is essential for arbitrage.</x:v>
      </x:c>
      <x:c r="F77" s="116" t="str">
        <x:v>Named municipality; parcel and HOA not cleared</x:v>
      </x:c>
      <x:c r="G77" s="78" t="str">
        <x:v>2026-09-21</x:v>
      </x:c>
      <x:c r="H77" s="78" t="str">
        <x:v>https://library.municode.com/in/indianapolis_-_marion_county/codes/code_of_ordinances?nodeId=TITIVBUCORELI_CH852INSHRMREPEPR_S852-106SHRMREPEPR&amp;showChanges=true</x:v>
      </x:c>
    </x:row>
    <x:row r="78" ht="85" customHeight="1">
      <x:c r="A78" s="78" t="n">
        <x:v>72</x:v>
      </x:c>
      <x:c r="B78" s="78" t="str">
        <x:v>Columbus</x:v>
      </x:c>
      <x:c r="C78" s="102" t="str">
        <x:v>Permit path identified</x:v>
      </x:c>
      <x:c r="D78" s="116" t="str">
        <x:v>City STR permit program; confirm zoning before applying and meet application/background-check requirements. City eligibility does not supersede lease or association restrictions.</x:v>
      </x:c>
      <x:c r="E78" s="116" t="str">
        <x:v>Confirm zoning, STR permit, required background checks and local tax accounts.</x:v>
      </x:c>
      <x:c r="F78" s="116" t="str">
        <x:v>Named municipality; parcel and HOA not cleared</x:v>
      </x:c>
      <x:c r="G78" s="78" t="str">
        <x:v>2026-09-21</x:v>
      </x:c>
      <x:c r="H78" s="78" t="str">
        <x:v>https://www.columbus.gov/Business-Development/Get-a-Permit/Get-a-Short-Term-Rental-Permit</x:v>
      </x:c>
    </x:row>
    <x:row r="79" ht="85" customHeight="1">
      <x:c r="A79" s="78" t="n">
        <x:v>73</x:v>
      </x:c>
      <x:c r="B79" s="78" t="str">
        <x:v>Cleveland</x:v>
      </x:c>
      <x:c r="C79" s="102" t="str">
        <x:v>Local review not completed</x:v>
      </x:c>
      <x:c r="D79" s="116" t="str">
        <x:v>No independent local legal clearance in this edition. Confirm exact city/county, zoning, owner-occupancy rules, permit/cap availability, transfer rules, lease and HOA before spending.</x:v>
      </x:c>
      <x:c r="E79" s="116" t="str">
        <x:v>Obtain current city STR/rental licensing and zoning confirmation for the exact address.</x:v>
      </x:c>
      <x:c r="F79" s="116" t="str">
        <x:v>Exact parcel jurisdiction must be established</x:v>
      </x:c>
      <x:c r="G79" s="78"/>
      <x:c r="H79" s="78"/>
    </x:row>
    <x:row r="80" ht="85" customHeight="1">
      <x:c r="A80" s="78" t="n">
        <x:v>74</x:v>
      </x:c>
      <x:c r="B80" s="78" t="str">
        <x:v>Akron</x:v>
      </x:c>
      <x:c r="C80" s="102" t="str">
        <x:v>Local review not completed</x:v>
      </x:c>
      <x:c r="D80" s="116" t="str">
        <x:v>No independent local legal clearance in this edition. Confirm exact city/county, zoning, owner-occupancy rules, permit/cap availability, transfer rules, lease and HOA before spending.</x:v>
      </x:c>
      <x:c r="E80" s="116" t="str">
        <x:v>Confirm city rental/STR registration and zoning; do not infer permission from existing listings.</x:v>
      </x:c>
      <x:c r="F80" s="116" t="str">
        <x:v>Exact parcel jurisdiction must be established</x:v>
      </x:c>
      <x:c r="G80" s="78"/>
      <x:c r="H80" s="78"/>
    </x:row>
    <x:row r="81" ht="85" customHeight="1">
      <x:c r="A81" s="78" t="n">
        <x:v>75</x:v>
      </x:c>
      <x:c r="B81" s="78" t="str">
        <x:v>Pittsburgh</x:v>
      </x:c>
      <x:c r="C81" s="102" t="str">
        <x:v>Local review not completed</x:v>
      </x:c>
      <x:c r="D81" s="116" t="str">
        <x:v>No independent local legal clearance in this edition. Confirm exact city/county, zoning, owner-occupancy rules, permit/cap availability, transfer rules, lease and HOA before spending.</x:v>
      </x:c>
      <x:c r="E81" s="116" t="str">
        <x:v>Check current city rental/STR requirements and the property's lawful occupancy.</x:v>
      </x:c>
      <x:c r="F81" s="116" t="str">
        <x:v>Exact parcel jurisdiction must be established</x:v>
      </x:c>
      <x:c r="G81" s="78"/>
      <x:c r="H81" s="78"/>
    </x:row>
    <x:row r="82" ht="85" customHeight="1">
      <x:c r="A82" s="78" t="n">
        <x:v>76</x:v>
      </x:c>
      <x:c r="B82" s="78" t="str">
        <x:v>Chattanooga</x:v>
      </x:c>
      <x:c r="C82" s="102" t="str">
        <x:v>Restricted / location-dependent</x:v>
      </x:c>
      <x:c r="D82" s="116" t="str">
        <x:v>Absentee rentals limited to eligible commercial zones allowing hotel/motel use; homestay rules and overlay differ. Certificate, density and parcel eligibility must be confirmed.</x:v>
      </x:c>
      <x:c r="E82" s="116" t="str">
        <x:v>Absentee STRs require eligible commercial hotel/motel zoning under the reviewed city program.</x:v>
      </x:c>
      <x:c r="F82" s="116" t="str">
        <x:v>Named municipality; parcel and HOA not cleared</x:v>
      </x:c>
      <x:c r="G82" s="78" t="str">
        <x:v>2026-09-21</x:v>
      </x:c>
      <x:c r="H82" s="78" t="str">
        <x:v>https://chattanooga.gov/pay-and-apply/permits-applications/short-term-rental</x:v>
      </x:c>
    </x:row>
    <x:row r="83" ht="85" customHeight="1">
      <x:c r="A83" s="78" t="n">
        <x:v>77</x:v>
      </x:c>
      <x:c r="B83" s="78" t="str">
        <x:v>Knoxville</x:v>
      </x:c>
      <x:c r="C83" s="102" t="str">
        <x:v>Local review not completed</x:v>
      </x:c>
      <x:c r="D83" s="116" t="str">
        <x:v>No independent local legal clearance in this edition. Confirm exact city/county, zoning, owner-occupancy rules, permit/cap availability, transfer rules, lease and HOA before spending.</x:v>
      </x:c>
      <x:c r="E83" s="116" t="str">
        <x:v>Check owner-occupied versus non-owner-occupied permit eligibility in the exact zone.</x:v>
      </x:c>
      <x:c r="F83" s="116" t="str">
        <x:v>Exact parcel jurisdiction must be established</x:v>
      </x:c>
      <x:c r="G83" s="78"/>
      <x:c r="H83" s="78"/>
    </x:row>
    <x:row r="84" ht="85" customHeight="1">
      <x:c r="A84" s="78" t="n">
        <x:v>78</x:v>
      </x:c>
      <x:c r="B84" s="78" t="str">
        <x:v>Nashville</x:v>
      </x:c>
      <x:c r="C84" s="102" t="str">
        <x:v>Restricted / location-dependent</x:v>
      </x:c>
      <x:c r="D84" s="116" t="str">
        <x:v>Permit required before advertising; zoning and owner/non-owner permit type must fit. Published application rules limit STR permits to no more than four sleeping rooms; confirm specific property's use.</x:v>
      </x:c>
      <x:c r="E84" s="116" t="str">
        <x:v>Confirm permit type/zoning and maximum legal sleeping rooms before using large-group comps.</x:v>
      </x:c>
      <x:c r="F84" s="116" t="str">
        <x:v>Named municipality; parcel and HOA not cleared</x:v>
      </x:c>
      <x:c r="G84" s="78" t="str">
        <x:v>2026-09-21</x:v>
      </x:c>
      <x:c r="H84" s="78" t="str">
        <x:v>https://www.nashville.gov/departments/codes/short-term-rentals/apply-short-term-rental-property-permit</x:v>
      </x:c>
    </x:row>
    <x:row r="85" ht="85" customHeight="1">
      <x:c r="A85" s="78" t="n">
        <x:v>79</x:v>
      </x:c>
      <x:c r="B85" s="78" t="str">
        <x:v>Savannah</x:v>
      </x:c>
      <x:c r="C85" s="102" t="str">
        <x:v>Restricted / location-dependent</x:v>
      </x:c>
      <x:c r="D85" s="116" t="str">
        <x:v>STR overlay applies; 20% non-owner-occupied parcel cap in relevant Downtown Historic/Victorian wards. Check exact ward, waiting list and certificate availability before underwriting.</x:v>
      </x:c>
      <x:c r="E85" s="116" t="str">
        <x:v>Confirm overlay eligibility, ward cap and waiting-list position; check transfer rules directly.</x:v>
      </x:c>
      <x:c r="F85" s="116" t="str">
        <x:v>Named municipality; parcel and HOA not cleared</x:v>
      </x:c>
      <x:c r="G85" s="78" t="str">
        <x:v>2026-09-21</x:v>
      </x:c>
      <x:c r="H85" s="78" t="str">
        <x:v>https://www.savannahga.gov/2327/STVR-Regulations</x:v>
      </x:c>
    </x:row>
    <x:row r="86" ht="85" customHeight="1">
      <x:c r="A86" s="78" t="n">
        <x:v>80</x:v>
      </x:c>
      <x:c r="B86" s="78" t="str">
        <x:v>Athens</x:v>
      </x:c>
      <x:c r="C86" s="102" t="str">
        <x:v>Restricted / location-dependent</x:v>
      </x:c>
      <x:c r="D86" s="116" t="str">
        <x:v>Home-occupation and commercial STR categories depend on zoning. Existing nonconforming treatment can be lost on sale. Official program page and amendment text differ on sunset period: obtain written current determination.</x:v>
      </x:c>
      <x:c r="E86" s="116" t="str">
        <x:v>Confirm current adopted sunset/transfer rules; official materials showed different amendment language.</x:v>
      </x:c>
      <x:c r="F86" s="116" t="str">
        <x:v>Named municipality; parcel and HOA not cleared</x:v>
      </x:c>
      <x:c r="G86" s="78" t="str">
        <x:v>2026-09-21</x:v>
      </x:c>
      <x:c r="H86" s="78" t="str">
        <x:v>https://www.accgov.com/str</x:v>
      </x:c>
    </x:row>
    <x:row r="87" ht="85" customHeight="1">
      <x:c r="A87" s="78" t="n">
        <x:v>81</x:v>
      </x:c>
      <x:c r="B87" s="78" t="str">
        <x:v>Flagstaff</x:v>
      </x:c>
      <x:c r="C87" s="102" t="str">
        <x:v>Permit path identified</x:v>
      </x:c>
      <x:c r="D87" s="116" t="str">
        <x:v>Annual city STR license, state TPT license and annual neighbor notifications required. Emergency contact and renewal compliance must be budgeted.</x:v>
      </x:c>
      <x:c r="E87" s="116" t="str">
        <x:v>Maintain city license, TPT registration and required neighbor notifications.</x:v>
      </x:c>
      <x:c r="F87" s="116" t="str">
        <x:v>Named municipality; parcel and HOA not cleared</x:v>
      </x:c>
      <x:c r="G87" s="78" t="str">
        <x:v>2026-09-21</x:v>
      </x:c>
      <x:c r="H87" s="78" t="str">
        <x:v>https://www.flagstaff.az.gov/4535/Short-Term-Rentals</x:v>
      </x:c>
    </x:row>
    <x:row r="88" ht="85" customHeight="1">
      <x:c r="A88" s="78" t="n">
        <x:v>82</x:v>
      </x:c>
      <x:c r="B88" s="78" t="str">
        <x:v>Sedona</x:v>
      </x:c>
      <x:c r="C88" s="102" t="str">
        <x:v>Permit path identified</x:v>
      </x:c>
      <x:c r="D88" s="116" t="str">
        <x:v>City STR permit required; obtain Arizona Transaction Privilege Tax license before applying. Confirm parcel jurisdiction, HOA/covenants and operational standards separately.</x:v>
      </x:c>
      <x:c r="E88" s="116" t="str">
        <x:v>Verify city permit and state TPT, plus private covenants and guest/noise rules.</x:v>
      </x:c>
      <x:c r="F88" s="116" t="str">
        <x:v>Named municipality; parcel and HOA not cleared</x:v>
      </x:c>
      <x:c r="G88" s="78" t="str">
        <x:v>2026-09-21</x:v>
      </x:c>
      <x:c r="H88" s="78" t="str">
        <x:v>https://www.sedonaaz.gov/your-government/departments/short-term-rentals</x:v>
      </x:c>
    </x:row>
    <x:row r="89" ht="85" customHeight="1">
      <x:c r="A89" s="78" t="n">
        <x:v>83</x:v>
      </x:c>
      <x:c r="B89" s="78" t="str">
        <x:v>Scottsdale</x:v>
      </x:c>
      <x:c r="C89" s="102" t="str">
        <x:v>Permit path identified</x:v>
      </x:c>
      <x:c r="D89" s="116" t="str">
        <x:v>Each under-30-day rental requires city license and compliance with state/county, safety and neighbor-notification rules. Event-center commercial gatherings are not an ordinary permitted residential STR use.</x:v>
      </x:c>
      <x:c r="E89" s="116" t="str">
        <x:v>Obtain city license; STR residential use does not authorize an event venue.</x:v>
      </x:c>
      <x:c r="F89" s="116" t="str">
        <x:v>Named municipality; parcel and HOA not cleared</x:v>
      </x:c>
      <x:c r="G89" s="78" t="str">
        <x:v>2026-09-21</x:v>
      </x:c>
      <x:c r="H89" s="78" t="str">
        <x:v>https://www.scottsdaleaz.gov/codes-and-ordinances/vacation-and-short-term-rentals</x:v>
      </x:c>
    </x:row>
    <x:row r="90" ht="85" customHeight="1">
      <x:c r="A90" s="78" t="n">
        <x:v>84</x:v>
      </x:c>
      <x:c r="B90" s="78" t="str">
        <x:v>Tucson</x:v>
      </x:c>
      <x:c r="C90" s="102" t="str">
        <x:v>Local review not completed</x:v>
      </x:c>
      <x:c r="D90" s="116" t="str">
        <x:v>No independent local legal clearance in this edition. Confirm exact city/county, zoning, owner-occupancy rules, permit/cap availability, transfer rules, lease and HOA before spending.</x:v>
      </x:c>
      <x:c r="E90" s="116" t="str">
        <x:v>Confirm current city/state registrations and property-specific restrictions.</x:v>
      </x:c>
      <x:c r="F90" s="116" t="str">
        <x:v>Exact parcel jurisdiction must be established</x:v>
      </x:c>
      <x:c r="G90" s="78"/>
      <x:c r="H90" s="78"/>
    </x:row>
    <x:row r="91" ht="85" customHeight="1">
      <x:c r="A91" s="78" t="n">
        <x:v>85</x:v>
      </x:c>
      <x:c r="B91" s="78" t="str">
        <x:v>Joshua Tree</x:v>
      </x:c>
      <x:c r="C91" s="102" t="str">
        <x:v>Permit path identified</x:v>
      </x:c>
      <x:c r="D91" s="116" t="str">
        <x:v>Unincorporated mountain/desert private-home STRs require San Bernardino County permit and compliance with county standards. Joshua Tree is not interchangeable with nearby incorporated cities.</x:v>
      </x:c>
      <x:c r="E91" s="116" t="str">
        <x:v>Confirm San Bernardino County permit coverage for unincorporated Joshua Tree.</x:v>
      </x:c>
      <x:c r="F91" s="116" t="str">
        <x:v>Unincorporated San Bernardino County</x:v>
      </x:c>
      <x:c r="G91" s="78" t="str">
        <x:v>2026-09-21</x:v>
      </x:c>
      <x:c r="H91" s="78" t="str">
        <x:v>https://str.sbcounty.gov/</x:v>
      </x:c>
    </x:row>
    <x:row r="92" ht="85" customHeight="1">
      <x:c r="A92" s="78" t="n">
        <x:v>86</x:v>
      </x:c>
      <x:c r="B92" s="78" t="str">
        <x:v>Big Bear Lake</x:v>
      </x:c>
      <x:c r="C92" s="102" t="str">
        <x:v>Local review not completed</x:v>
      </x:c>
      <x:c r="D92" s="116" t="str">
        <x:v>No independent local legal clearance in this edition. Confirm exact city/county, zoning, owner-occupancy rules, permit/cap availability, transfer rules, lease and HOA before spending.</x:v>
      </x:c>
      <x:c r="E92" s="116" t="str">
        <x:v>Confirm City of Big Bear Lake rules; Big Bear City/county requirements differ.</x:v>
      </x:c>
      <x:c r="F92" s="116" t="str">
        <x:v>Exact parcel jurisdiction must be established</x:v>
      </x:c>
      <x:c r="G92" s="78"/>
      <x:c r="H92" s="78"/>
    </x:row>
    <x:row r="93" ht="85" customHeight="1">
      <x:c r="A93" s="78" t="n">
        <x:v>87</x:v>
      </x:c>
      <x:c r="B93" s="78" t="str">
        <x:v>Palm Springs</x:v>
      </x:c>
      <x:c r="C93" s="102" t="str">
        <x:v>Restricted / location-dependent</x:v>
      </x:c>
      <x:c r="D93" s="116" t="str">
        <x:v>Registration certificates; 20% neighborhood cap for standard permits. New standard permittees limited to 26 contracts/year; junior permits six. Contract limits are not occupancy percentages.</x:v>
      </x:c>
      <x:c r="E93" s="116" t="str">
        <x:v>Verify neighborhood availability and standard versus junior certificate contract limits.</x:v>
      </x:c>
      <x:c r="F93" s="116" t="str">
        <x:v>Named municipality; parcel and HOA not cleared</x:v>
      </x:c>
      <x:c r="G93" s="78" t="str">
        <x:v>2026-09-21</x:v>
      </x:c>
      <x:c r="H93" s="78" t="str">
        <x:v>https://ecode360.com/42991954</x:v>
      </x:c>
    </x:row>
    <x:row r="94" ht="85" customHeight="1">
      <x:c r="A94" s="78" t="n">
        <x:v>88</x:v>
      </x:c>
      <x:c r="B94" s="78" t="str">
        <x:v>Mammoth Lakes</x:v>
      </x:c>
      <x:c r="C94" s="102" t="str">
        <x:v>Local review not completed</x:v>
      </x:c>
      <x:c r="D94" s="116" t="str">
        <x:v>No independent local legal clearance in this edition. Confirm exact city/county, zoning, owner-occupancy rules, permit/cap availability, transfer rules, lease and HOA before spending.</x:v>
      </x:c>
      <x:c r="E94" s="116" t="str">
        <x:v>Check permitted rental zoning, certificate program and current condominium restrictions.</x:v>
      </x:c>
      <x:c r="F94" s="116" t="str">
        <x:v>Exact parcel jurisdiction must be established</x:v>
      </x:c>
      <x:c r="G94" s="78"/>
      <x:c r="H94" s="78"/>
    </x:row>
    <x:row r="95" ht="85" customHeight="1">
      <x:c r="A95" s="78" t="n">
        <x:v>89</x:v>
      </x:c>
      <x:c r="B95" s="78" t="str">
        <x:v>Breckenridge</x:v>
      </x:c>
      <x:c r="C95" s="102" t="str">
        <x:v>Restricted / location-dependent</x:v>
      </x:c>
      <x:c r="D95" s="116" t="str">
        <x:v>Zone-specific license caps and availability must be checked. STR licenses are non-transferable on sale; HOA rules and annual per-bedroom fees can materially change economics.</x:v>
      </x:c>
      <x:c r="E95" s="116" t="str">
        <x:v>A seller's license does not transfer; verify the zone and new-license availability.</x:v>
      </x:c>
      <x:c r="F95" s="116" t="str">
        <x:v>Named municipality; parcel and HOA not cleared</x:v>
      </x:c>
      <x:c r="G95" s="78" t="str">
        <x:v>2026-09-21</x:v>
      </x:c>
      <x:c r="H95" s="78" t="str">
        <x:v>https://www.townofbreckenridge.com/community/short-term-rentals</x:v>
      </x:c>
    </x:row>
    <x:row r="96" ht="85" customHeight="1">
      <x:c r="A96" s="78" t="n">
        <x:v>90</x:v>
      </x:c>
      <x:c r="B96" s="78" t="str">
        <x:v>Estes Park</x:v>
      </x:c>
      <x:c r="C96" s="102" t="str">
        <x:v>Restricted / location-dependent</x:v>
      </x:c>
      <x:c r="D96" s="116" t="str">
        <x:v>Residential vacation-home licenses subject to town cap and waitlist/lottery process. Official page contains mixed-era waitlist text; confirm current application window and transferability. County is separate.</x:v>
      </x:c>
      <x:c r="E96" s="116" t="str">
        <x:v>Confirm town versus county rules and current cap/waitlist/lottery status directly.</x:v>
      </x:c>
      <x:c r="F96" s="116" t="str">
        <x:v>Named municipality; parcel and HOA not cleared</x:v>
      </x:c>
      <x:c r="G96" s="78" t="str">
        <x:v>2026-09-21</x:v>
      </x:c>
      <x:c r="H96" s="78" t="str">
        <x:v>https://estespark.colorado.gov/vacationhomelicensing</x:v>
      </x:c>
    </x:row>
    <x:row r="97" ht="85" customHeight="1">
      <x:c r="A97" s="78" t="n">
        <x:v>91</x:v>
      </x:c>
      <x:c r="B97" s="78" t="str">
        <x:v>Pagosa Springs</x:v>
      </x:c>
      <x:c r="C97" s="102" t="str">
        <x:v>Local review not completed</x:v>
      </x:c>
      <x:c r="D97" s="116" t="str">
        <x:v>No independent local legal clearance in this edition. Confirm exact city/county, zoning, owner-occupancy rules, permit/cap availability, transfer rules, lease and HOA before spending.</x:v>
      </x:c>
      <x:c r="E97" s="116" t="str">
        <x:v>Separate town and Archuleta County permitting and confirm renewal/transfer conditions.</x:v>
      </x:c>
      <x:c r="F97" s="116" t="str">
        <x:v>Exact parcel jurisdiction must be established</x:v>
      </x:c>
      <x:c r="G97" s="78"/>
      <x:c r="H97" s="78"/>
    </x:row>
    <x:row r="98" ht="85" customHeight="1">
      <x:c r="A98" s="78" t="n">
        <x:v>92</x:v>
      </x:c>
      <x:c r="B98" s="78" t="str">
        <x:v>Durango</x:v>
      </x:c>
      <x:c r="C98" s="102" t="str">
        <x:v>Local review not completed</x:v>
      </x:c>
      <x:c r="D98" s="116" t="str">
        <x:v>No independent local legal clearance in this edition. Confirm exact city/county, zoning, owner-occupancy rules, permit/cap availability, transfer rules, lease and HOA before spending.</x:v>
      </x:c>
      <x:c r="E98" s="116" t="str">
        <x:v>Confirm city versus La Plata County rules and any permit-cap or zone limitations.</x:v>
      </x:c>
      <x:c r="F98" s="116" t="str">
        <x:v>Exact parcel jurisdiction must be established</x:v>
      </x:c>
      <x:c r="G98" s="78"/>
      <x:c r="H98" s="78"/>
    </x:row>
    <x:row r="99" ht="85" customHeight="1">
      <x:c r="A99" s="78" t="n">
        <x:v>93</x:v>
      </x:c>
      <x:c r="B99" s="78" t="str">
        <x:v>Park City</x:v>
      </x:c>
      <x:c r="C99" s="102" t="str">
        <x:v>Local review not completed</x:v>
      </x:c>
      <x:c r="D99" s="116" t="str">
        <x:v>No independent local legal clearance in this edition. Confirm exact city/county, zoning, owner-occupancy rules, permit/cap availability, transfer rules, lease and HOA before spending.</x:v>
      </x:c>
      <x:c r="E99" s="116" t="str">
        <x:v>Verify nightly-rental zoning and licensing; resort and residential parcels are not interchangeable.</x:v>
      </x:c>
      <x:c r="F99" s="116" t="str">
        <x:v>Exact parcel jurisdiction must be established</x:v>
      </x:c>
      <x:c r="G99" s="78"/>
      <x:c r="H99" s="78"/>
    </x:row>
    <x:row r="100" ht="85" customHeight="1">
      <x:c r="A100" s="78" t="n">
        <x:v>94</x:v>
      </x:c>
      <x:c r="B100" s="78" t="str">
        <x:v>Hurricane</x:v>
      </x:c>
      <x:c r="C100" s="102" t="str">
        <x:v>Local review not completed</x:v>
      </x:c>
      <x:c r="D100" s="116" t="str">
        <x:v>No independent local legal clearance in this edition. Confirm exact city/county, zoning, owner-occupancy rules, permit/cap availability, transfer rules, lease and HOA before spending.</x:v>
      </x:c>
      <x:c r="E100" s="116" t="str">
        <x:v>Confirm current permitted zones, license availability and any single-family-area cap.</x:v>
      </x:c>
      <x:c r="F100" s="116" t="str">
        <x:v>Exact parcel jurisdiction must be established</x:v>
      </x:c>
      <x:c r="G100" s="78"/>
      <x:c r="H100" s="78"/>
    </x:row>
    <x:row r="101" ht="85" customHeight="1">
      <x:c r="A101" s="78" t="n">
        <x:v>95</x:v>
      </x:c>
      <x:c r="B101" s="78" t="str">
        <x:v>Moab</x:v>
      </x:c>
      <x:c r="C101" s="102" t="str">
        <x:v>Local review not completed</x:v>
      </x:c>
      <x:c r="D101" s="116" t="str">
        <x:v>No independent local legal clearance in this edition. Confirm exact city/county, zoning, owner-occupancy rules, permit/cap availability, transfer rules, lease and HOA before spending.</x:v>
      </x:c>
      <x:c r="E101" s="116" t="str">
        <x:v>Obtain current city/Grand County zoning and nightly-rental approval confirmation.</x:v>
      </x:c>
      <x:c r="F101" s="116" t="str">
        <x:v>Exact parcel jurisdiction must be established</x:v>
      </x:c>
      <x:c r="G101" s="78"/>
      <x:c r="H101" s="78"/>
    </x:row>
    <x:row r="102" ht="85" customHeight="1">
      <x:c r="A102" s="78" t="n">
        <x:v>96</x:v>
      </x:c>
      <x:c r="B102" s="78" t="str">
        <x:v>Whitefish</x:v>
      </x:c>
      <x:c r="C102" s="102" t="str">
        <x:v>Restricted / location-dependent</x:v>
      </x:c>
      <x:c r="D102" s="116" t="str">
        <x:v>City guide allows vacation rentals only in specified business/resort districts; permit, business license, fire inspection and state registrations apply. Reconfirm current zoning code for parcel.</x:v>
      </x:c>
      <x:c r="E102" s="116" t="str">
        <x:v>Confirm the allowed district, joint rental/business license and state/health requirements.</x:v>
      </x:c>
      <x:c r="F102" s="116" t="str">
        <x:v>Named municipality; parcel and HOA not cleared</x:v>
      </x:c>
      <x:c r="G102" s="78" t="str">
        <x:v>2026-09-21</x:v>
      </x:c>
      <x:c r="H102" s="78" t="str">
        <x:v>https://www.cityofwhitefish.gov/DocumentCenter/View/176/Short-Term-or-Vacation-Rentals-PDF</x:v>
      </x:c>
    </x:row>
    <x:row r="103" ht="85" customHeight="1">
      <x:c r="A103" s="78" t="n">
        <x:v>97</x:v>
      </x:c>
      <x:c r="B103" s="78" t="str">
        <x:v>West Yellowstone</x:v>
      </x:c>
      <x:c r="C103" s="102" t="str">
        <x:v>Local review not completed</x:v>
      </x:c>
      <x:c r="D103" s="116" t="str">
        <x:v>No independent local legal clearance in this edition. Confirm exact city/county, zoning, owner-occupancy rules, permit/cap availability, transfer rules, lease and HOA before spending.</x:v>
      </x:c>
      <x:c r="E103" s="116" t="str">
        <x:v>Confirm town/county jurisdiction, lodging licenses and seasonal operating constraints.</x:v>
      </x:c>
      <x:c r="F103" s="116" t="str">
        <x:v>Exact parcel jurisdiction must be established</x:v>
      </x:c>
      <x:c r="G103" s="78"/>
      <x:c r="H103" s="78"/>
    </x:row>
    <x:row r="104" ht="85" customHeight="1">
      <x:c r="A104" s="78" t="n">
        <x:v>98</x:v>
      </x:c>
      <x:c r="B104" s="78" t="str">
        <x:v>Bend</x:v>
      </x:c>
      <x:c r="C104" s="102" t="str">
        <x:v>Restricted / location-dependent</x:v>
      </x:c>
      <x:c r="D104" s="116" t="str">
        <x:v>Whole-home Type II permits in applicable residential zones have a 500-foot separation rule. Land-use approval and operating license required; exemptions and commercial-zone rules differ.</x:v>
      </x:c>
      <x:c r="E104" s="116" t="str">
        <x:v>Verify Type II 500-foot separation or a documented exception, plus operating license.</x:v>
      </x:c>
      <x:c r="F104" s="116" t="str">
        <x:v>Named municipality; parcel and HOA not cleared</x:v>
      </x:c>
      <x:c r="G104" s="78" t="str">
        <x:v>2026-09-21</x:v>
      </x:c>
      <x:c r="H104" s="78" t="str">
        <x:v>https://bendoregon.gov/services/business/short-term-rentals/</x:v>
      </x:c>
    </x:row>
    <x:row r="105" ht="85" customHeight="1">
      <x:c r="A105" s="78" t="n">
        <x:v>99</x:v>
      </x:c>
      <x:c r="B105" s="78" t="str">
        <x:v>Lincoln City</x:v>
      </x:c>
      <x:c r="C105" s="102" t="str">
        <x:v>Local review not completed</x:v>
      </x:c>
      <x:c r="D105" s="116" t="str">
        <x:v>No independent local legal clearance in this edition. Confirm exact city/county, zoning, owner-occupancy rules, permit/cap availability, transfer rules, lease and HOA before spending.</x:v>
      </x:c>
      <x:c r="E105" s="116" t="str">
        <x:v>Check vacation-rental dwelling zone/category, license availability and transfer rules.</x:v>
      </x:c>
      <x:c r="F105" s="116" t="str">
        <x:v>Exact parcel jurisdiction must be established</x:v>
      </x:c>
      <x:c r="G105" s="78"/>
      <x:c r="H105" s="78"/>
    </x:row>
    <x:row r="106" ht="85" customHeight="1">
      <x:c r="A106" s="78" t="n">
        <x:v>100</x:v>
      </x:c>
      <x:c r="B106" s="78" t="str">
        <x:v>Bar Harbor</x:v>
      </x:c>
      <x:c r="C106" s="102" t="str">
        <x:v>Restricted / location-dependent</x:v>
      </x:c>
      <x:c r="D106" s="116" t="str">
        <x:v>Annual registration and inspection program. VR-1 is primary-residence-linked; VR-2 is entire non-primary dwelling, with four-night minimum. Confirm cap/waitlist and transfer eligibility with town.</x:v>
      </x:c>
      <x:c r="E106" s="116" t="str">
        <x:v>Confirm VR-1 versus VR-2 registration, current cap/transfer status and minimum nights.</x:v>
      </x:c>
      <x:c r="F106" s="116" t="str">
        <x:v>Named municipality; parcel and HOA not cleared</x:v>
      </x:c>
      <x:c r="G106" s="78" t="str">
        <x:v>2026-09-21</x:v>
      </x:c>
      <x:c r="H106" s="78" t="str">
        <x:v>https://barharbormaine.gov/516/Short-Term-Rentals</x:v>
      </x:c>
    </x:row>
  </x:sheetData>
  <x:mergeCells>
    <x:mergeCell ref="A1:G2"/>
    <x:mergeCell ref="A3:G4"/>
  </x:mergeCells>
  <x:conditionalFormatting sqref="C7:C106">
    <x:cfRule type="expression" dxfId="1" priority="1">
      <x:formula>C7="Restricted / location-dependent"</x:formula>
    </x:cfRule>
    <x:cfRule type="expression" dxfId="2" priority="2">
      <x:formula>C7="Local review not completed"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dca25c31f2e425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0" hidden="0" customWidth="1"/>
    <x:col min="3" max="3" width="50" hidden="0" customWidth="1"/>
    <x:col min="4" max="4" width="24" hidden="0" customWidth="1"/>
    <x:col min="5" max="5" width="28" hidden="0" customWidth="1"/>
    <x:col min="6" max="6" width="48" hidden="0" customWidth="1"/>
    <x:col min="7" max="7" width="18" hidden="0" customWidth="1"/>
    <x:col min="8" max="8" width="18" hidden="0" customWidth="1"/>
    <x:col min="9" max="9" width="20" hidden="0" customWidth="1"/>
    <x:col min="10" max="10" width="46" hidden="0" customWidth="1"/>
  </x:cols>
  <x:sheetData>
    <x:row r="1" ht="28" customHeight="1">
      <x:c r="A1" s="80" t="str">
        <x:v>SOURCE REGISTER | Provenance and gaps</x:v>
      </x:c>
      <x:c r="B1" s="80"/>
      <x:c r="C1" s="80"/>
      <x:c r="D1" s="80"/>
      <x:c r="E1" s="80"/>
      <x:c r="F1" s="80"/>
      <x:c r="G1" s="80"/>
      <x:c r="H1" s="80"/>
      <x:c r="I1" s="80"/>
      <x:c r="J1" s="80"/>
    </x:row>
    <x:row r="2" ht="24" customHeight="1">
      <x:c r="A2" s="80"/>
      <x:c r="B2" s="80"/>
      <x:c r="C2" s="80"/>
      <x:c r="D2" s="80"/>
      <x:c r="E2" s="80"/>
      <x:c r="F2" s="80"/>
      <x:c r="G2" s="80"/>
      <x:c r="H2" s="80"/>
      <x:c r="I2" s="80"/>
      <x:c r="J2" s="80"/>
    </x:row>
    <x:row r="3" ht="27" customHeight="1">
      <x:c r="A3" s="81" t="str">
        <x:v>Source dates below are provider dates, not a certification of live data. Simple ADR × occupancy is a diagnostic proxy only. Wilmington's projection is not entered in historical revenue.</x:v>
      </x:c>
      <x:c r="B3" s="81"/>
      <x:c r="C3" s="81"/>
      <x:c r="D3" s="81"/>
      <x:c r="E3" s="81"/>
      <x:c r="F3" s="81"/>
      <x:c r="G3" s="81"/>
      <x:c r="H3" s="81"/>
      <x:c r="I3" s="81"/>
      <x:c r="J3" s="81"/>
    </x:row>
    <x:row r="4" ht="27" customHeight="1">
      <x:c r="A4" s="81"/>
      <x:c r="B4" s="81"/>
      <x:c r="C4" s="81"/>
      <x:c r="D4" s="81"/>
      <x:c r="E4" s="81"/>
      <x:c r="F4" s="81"/>
      <x:c r="G4" s="81"/>
      <x:c r="H4" s="81"/>
      <x:c r="I4" s="81"/>
      <x:c r="J4" s="81"/>
    </x:row>
    <x:row r="5" ht="10" customHeight="1">
      <x:c r="A5" s="78"/>
      <x:c r="B5" s="78"/>
      <x:c r="C5" s="78"/>
      <x:c r="D5" s="78"/>
      <x:c r="E5" s="78"/>
      <x:c r="F5" s="78"/>
      <x:c r="G5" s="78"/>
      <x:c r="H5" s="78"/>
      <x:c r="I5" s="78"/>
      <x:c r="J5" s="78"/>
    </x:row>
    <x:row r="6" ht="37" customHeight="1">
      <x:c r="A6" s="103" t="str">
        <x:v>ID</x:v>
      </x:c>
      <x:c r="B6" s="103" t="str">
        <x:v>Market</x:v>
      </x:c>
      <x:c r="C6" s="103" t="str">
        <x:v>STR source URL</x:v>
      </x:c>
      <x:c r="D6" s="103" t="str">
        <x:v>Provider update / snapshot</x:v>
      </x:c>
      <x:c r="E6" s="103" t="str">
        <x:v>Revenue definition</x:v>
      </x:c>
      <x:c r="F6" s="103" t="str">
        <x:v>Additional source / quality notes</x:v>
      </x:c>
      <x:c r="G6" s="103" t="str">
        <x:v>Reported supply YoY</x:v>
      </x:c>
      <x:c r="H6" s="103" t="str">
        <x:v>ADR × occupancy proxy ($)</x:v>
      </x:c>
      <x:c r="I6" s="103" t="str">
        <x:v>Projection only ($/year)</x:v>
      </x:c>
      <x:c r="J6" s="103" t="str">
        <x:v>Rejected / comparison source URL</x:v>
      </x:c>
    </x:row>
    <x:row r="7" ht="78" customHeight="1">
      <x:c r="A7" s="78" t="n">
        <x:v>1</x:v>
      </x:c>
      <x:c r="B7" s="78" t="str">
        <x:v>Sevierville</x:v>
      </x:c>
      <x:c r="C7" s="78" t="str">
        <x:v>https://www.airdna.co/vacation-rental-data/app/us/tennessee/sevierville/overview</x:v>
      </x:c>
      <x:c r="D7" s="78" t="str">
        <x:v>2026-08-25</x:v>
      </x:c>
      <x:c r="E7" s="78" t="str">
        <x:v>Trailing 12 months; market-wide active listings</x:v>
      </x:c>
      <x:c r="F7" s="78" t="str">
        <x:v>Vendor averages mix property size, availability and geography; verify a matched comp set.</x:v>
      </x:c>
      <x:c r="G7" s="92" t="n">
        <x:v>-0.454</x:v>
      </x:c>
      <x:c r="H7" s="115" t="n">
        <x:f>IF(OR('100 Markets'!E7="",'100 Markets'!F7=""),"",'100 Markets'!E7*'100 Markets'!F7)</x:f>
        <x:v>206.90999999999997</x:v>
      </x:c>
      <x:c r="I7" s="115"/>
      <x:c r="J7" s="78"/>
    </x:row>
    <x:row r="8" ht="78" customHeight="1">
      <x:c r="A8" s="78" t="n">
        <x:v>2</x:v>
      </x:c>
      <x:c r="B8" s="78" t="str">
        <x:v>Gatlinburg</x:v>
      </x:c>
      <x:c r="C8" s="78" t="str">
        <x:v>https://www.airdna.co/vacation-rental-data/app/us/tennessee/gatlinburg/overview</x:v>
      </x:c>
      <x:c r="D8" s="78" t="str">
        <x:v>2026-09-01</x:v>
      </x:c>
      <x:c r="E8" s="78" t="str">
        <x:v>Trailing 12 months; market-wide active listings</x:v>
      </x:c>
      <x:c r="F8" s="78" t="str">
        <x:v>Public snapshots disagreed: the Sept. 1 / Aug. 2026 snapshot reported $66,600, 57% occupancy and $340 ADR; an Aug. 5 / July 2026 snapshot reported $46,800, 53% and $346. The later-dated snapshot is retained. Refresh a coherent matched cohort; do not infer growth from these versions.</x:v>
      </x:c>
      <x:c r="G8" s="92" t="n">
        <x:v>-0.003</x:v>
      </x:c>
      <x:c r="H8" s="115" t="n">
        <x:f>IF(OR('100 Markets'!E8="",'100 Markets'!F8=""),"",'100 Markets'!E8*'100 Markets'!F8)</x:f>
        <x:v>193.79999999999998</x:v>
      </x:c>
      <x:c r="I8" s="115"/>
      <x:c r="J8" s="78"/>
    </x:row>
    <x:row r="9" ht="78" customHeight="1">
      <x:c r="A9" s="78" t="n">
        <x:v>3</x:v>
      </x:c>
      <x:c r="B9" s="78" t="str">
        <x:v>Pigeon Forge</x:v>
      </x:c>
      <x:c r="C9" s="78" t="str">
        <x:v>https://www.airdna.co/vacation-rental-data/app/us/tennessee/pigeon-forge/overview</x:v>
      </x:c>
      <x:c r="D9" s="78" t="str">
        <x:v>2026-08-25</x:v>
      </x:c>
      <x:c r="E9" s="78" t="str">
        <x:v>Trailing 12 months; market-wide active listings</x:v>
      </x:c>
      <x:c r="F9" s="78" t="str">
        <x:v>Vendor averages mix property size, availability and geography; verify a matched comp set.</x:v>
      </x:c>
      <x:c r="G9" s="92" t="n">
        <x:v>-0.262</x:v>
      </x:c>
      <x:c r="H9" s="115" t="n">
        <x:f>IF(OR('100 Markets'!E9="",'100 Markets'!F9=""),"",'100 Markets'!E9*'100 Markets'!F9)</x:f>
        <x:v>192.08</x:v>
      </x:c>
      <x:c r="I9" s="115"/>
      <x:c r="J9" s="78"/>
    </x:row>
    <x:row r="10" ht="78" customHeight="1">
      <x:c r="A10" s="78" t="n">
        <x:v>4</x:v>
      </x:c>
      <x:c r="B10" s="78" t="str">
        <x:v>Blue Ridge</x:v>
      </x:c>
      <x:c r="C10" s="78" t="str">
        <x:v>https://www.airdna.co/vacation-rental-data/app/us/georgia/blue-ridge/overview</x:v>
      </x:c>
      <x:c r="D10" s="78" t="str">
        <x:v>2026-09-01</x:v>
      </x:c>
      <x:c r="E10" s="78" t="str">
        <x:v>Trailing 12 months; market-wide active listings</x:v>
      </x:c>
      <x:c r="F10" s="78" t="str">
        <x:v>Vendor averages mix property size, availability and geography; verify a matched comp set.</x:v>
      </x:c>
      <x:c r="G10" s="92" t="n">
        <x:v>-0.313</x:v>
      </x:c>
      <x:c r="H10" s="115" t="n">
        <x:f>IF(OR('100 Markets'!E10="",'100 Markets'!F10=""),"",'100 Markets'!E10*'100 Markets'!F10)</x:f>
        <x:v>171.35999999999999</x:v>
      </x:c>
      <x:c r="I10" s="115"/>
      <x:c r="J10" s="78"/>
    </x:row>
    <x:row r="11" ht="78" customHeight="1">
      <x:c r="A11" s="78" t="n">
        <x:v>5</x:v>
      </x:c>
      <x:c r="B11" s="78" t="str">
        <x:v>Ellijay</x:v>
      </x:c>
      <x:c r="C11" s="78" t="str">
        <x:v>https://www.airdna.co/vacation-rental-data/app/us/georgia/ellijay/overview</x:v>
      </x:c>
      <x:c r="D11" s="78" t="str">
        <x:v>2026-09-01</x:v>
      </x:c>
      <x:c r="E11" s="78" t="str">
        <x:v>Trailing 12 months; market-wide active listings</x:v>
      </x:c>
      <x:c r="F11" s="78" t="str">
        <x:v>Vendor averages mix property size, availability and geography; verify a matched comp set.</x:v>
      </x:c>
      <x:c r="G11" s="92" t="n">
        <x:v>-0.621</x:v>
      </x:c>
      <x:c r="H11" s="115" t="n">
        <x:f>IF(OR('100 Markets'!E11="",'100 Markets'!F11=""),"",'100 Markets'!E11*'100 Markets'!F11)</x:f>
        <x:v>138</x:v>
      </x:c>
      <x:c r="I11" s="115"/>
      <x:c r="J11" s="78"/>
    </x:row>
    <x:row r="12" ht="78" customHeight="1">
      <x:c r="A12" s="78" t="n">
        <x:v>6</x:v>
      </x:c>
      <x:c r="B12" s="78" t="str">
        <x:v>Broken Bow</x:v>
      </x:c>
      <x:c r="C12" s="78" t="str">
        <x:v>https://www.airdna.co/vacation-rental-data/app/us/oklahoma/broken-bow/overview</x:v>
      </x:c>
      <x:c r="D12" s="78" t="str">
        <x:v>2026-08-25</x:v>
      </x:c>
      <x:c r="E12" s="78" t="str">
        <x:v>Trailing 12 months; market-wide active listings</x:v>
      </x:c>
      <x:c r="F12" s="78" t="str">
        <x:v>Vendor averages mix property size, availability and geography; verify a matched comp set.</x:v>
      </x:c>
      <x:c r="G12" s="92" t="n">
        <x:v>-0.256</x:v>
      </x:c>
      <x:c r="H12" s="115" t="n">
        <x:f>IF(OR('100 Markets'!E12="",'100 Markets'!F12=""),"",'100 Markets'!E12*'100 Markets'!F12)</x:f>
        <x:v>193.5</x:v>
      </x:c>
      <x:c r="I12" s="115"/>
      <x:c r="J12" s="78"/>
    </x:row>
    <x:row r="13" ht="78" customHeight="1">
      <x:c r="A13" s="78" t="n">
        <x:v>7</x:v>
      </x:c>
      <x:c r="B13" s="78" t="str">
        <x:v>Branson</x:v>
      </x:c>
      <x:c r="C13" s="78" t="str">
        <x:v>https://www.airdna.co/vacation-rental-data/app/us/missouri/branson/overview</x:v>
      </x:c>
      <x:c r="D13" s="78" t="str">
        <x:v>2026-08-05</x:v>
      </x:c>
      <x:c r="E13" s="78" t="str">
        <x:v>Trailing 12 months; market-wide active listings</x:v>
      </x:c>
      <x:c r="F13" s="78" t="str">
        <x:v>Vendor averages mix property size, availability and geography; verify a matched comp set.</x:v>
      </x:c>
      <x:c r="G13" s="92" t="n">
        <x:v>-0.091</x:v>
      </x:c>
      <x:c r="H13" s="115" t="n">
        <x:f>IF(OR('100 Markets'!E13="",'100 Markets'!F13=""),"",'100 Markets'!E13*'100 Markets'!F13)</x:f>
        <x:v>113.62</x:v>
      </x:c>
      <x:c r="I13" s="115"/>
      <x:c r="J13" s="78"/>
    </x:row>
    <x:row r="14" ht="78" customHeight="1">
      <x:c r="A14" s="78" t="n">
        <x:v>8</x:v>
      </x:c>
      <x:c r="B14" s="78" t="str">
        <x:v>Hot Springs</x:v>
      </x:c>
      <x:c r="C14" s="78" t="str">
        <x:v>https://rabbu.com/airbnb-data/hot-springs-national-park-ar</x:v>
      </x:c>
      <x:c r="D14" s="78" t="str">
        <x:v>2026-04-27</x:v>
      </x:c>
      <x:c r="E14" s="78" t="str">
        <x:v>Rabbu historical 12-month average; snapshot ADR/occupancy</x:v>
      </x:c>
      <x:c r="F14" s="78" t="str">
        <x:v>Vendor averages mix property size, availability and geography; verify a matched comp set.</x:v>
      </x:c>
      <x:c r="G14" s="92"/>
      <x:c r="H14" s="115" t="n">
        <x:f>IF(OR('100 Markets'!E14="",'100 Markets'!F14=""),"",'100 Markets'!E14*'100 Markets'!F14)</x:f>
        <x:v>46.42</x:v>
      </x:c>
      <x:c r="I14" s="115"/>
      <x:c r="J14" s="78"/>
    </x:row>
    <x:row r="15" ht="78" customHeight="1">
      <x:c r="A15" s="78" t="n">
        <x:v>9</x:v>
      </x:c>
      <x:c r="B15" s="78" t="str">
        <x:v>Gulf Shores</x:v>
      </x:c>
      <x:c r="C15" s="78" t="str">
        <x:v>https://www.airdna.co/vacation-rental-data/app/us/alabama/gulf-shores/overview</x:v>
      </x:c>
      <x:c r="D15" s="78" t="str">
        <x:v>2026-08-05</x:v>
      </x:c>
      <x:c r="E15" s="78" t="str">
        <x:v>Trailing 12 months; market-wide active listings</x:v>
      </x:c>
      <x:c r="F15" s="78" t="str">
        <x:v>Vendor averages mix property size, availability and geography; verify a matched comp set.</x:v>
      </x:c>
      <x:c r="G15" s="92" t="n">
        <x:v>-0.026</x:v>
      </x:c>
      <x:c r="H15" s="115" t="n">
        <x:f>IF(OR('100 Markets'!E15="",'100 Markets'!F15=""),"",'100 Markets'!E15*'100 Markets'!F15)</x:f>
        <x:v>236.32000000000002</x:v>
      </x:c>
      <x:c r="I15" s="115"/>
      <x:c r="J15" s="78"/>
    </x:row>
    <x:row r="16" ht="78" customHeight="1">
      <x:c r="A16" s="78" t="n">
        <x:v>10</x:v>
      </x:c>
      <x:c r="B16" s="78" t="str">
        <x:v>Orange Beach</x:v>
      </x:c>
      <x:c r="C16" s="78" t="str">
        <x:v>https://www.airdna.co/vacation-rental-data/app/us/alabama/orange-beach/overview</x:v>
      </x:c>
      <x:c r="D16" s="78" t="str">
        <x:v>2026-09-01</x:v>
      </x:c>
      <x:c r="E16" s="78" t="str">
        <x:v>Trailing 12 months; market-wide active listings</x:v>
      </x:c>
      <x:c r="F16" s="78" t="str">
        <x:v>Vendor averages mix property size, availability and geography; verify a matched comp set.</x:v>
      </x:c>
      <x:c r="G16" s="92" t="n">
        <x:v>-0.644</x:v>
      </x:c>
      <x:c r="H16" s="115" t="n">
        <x:f>IF(OR('100 Markets'!E16="",'100 Markets'!F16=""),"",'100 Markets'!E16*'100 Markets'!F16)</x:f>
        <x:v>247.66</x:v>
      </x:c>
      <x:c r="I16" s="115"/>
      <x:c r="J16" s="78"/>
    </x:row>
    <x:row r="17" ht="78" customHeight="1">
      <x:c r="A17" s="78" t="n">
        <x:v>11</x:v>
      </x:c>
      <x:c r="B17" s="78" t="str">
        <x:v>Panama City Beach</x:v>
      </x:c>
      <x:c r="C17" s="78" t="str">
        <x:v>https://rabbu.com/airbnb-data/panama-city-beach-fl</x:v>
      </x:c>
      <x:c r="D17" s="78" t="str">
        <x:v>Not stated</x:v>
      </x:c>
      <x:c r="E17" s="78" t="str">
        <x:v>Rabbu historical 12-month average; ADR/occupancy snapshot may differ</x:v>
      </x:c>
      <x:c r="F17" s="78" t="str">
        <x:v>Vendor averages mix property size, availability and geography; verify a matched comp set.</x:v>
      </x:c>
      <x:c r="G17" s="92"/>
      <x:c r="H17" s="115" t="n">
        <x:f>IF(OR('100 Markets'!E17="",'100 Markets'!F17=""),"",'100 Markets'!E17*'100 Markets'!F17)</x:f>
        <x:v>80.56</x:v>
      </x:c>
      <x:c r="I17" s="115"/>
      <x:c r="J17" s="78"/>
    </x:row>
    <x:row r="18" ht="78" customHeight="1">
      <x:c r="A18" s="78" t="n">
        <x:v>12</x:v>
      </x:c>
      <x:c r="B18" s="78" t="str">
        <x:v>Destin</x:v>
      </x:c>
      <x:c r="C18" s="78" t="str">
        <x:v>https://www.airdna.co/vacation-rental-data/app/us/florida/destin/overview</x:v>
      </x:c>
      <x:c r="D18" s="78" t="str">
        <x:v>2026-08-25</x:v>
      </x:c>
      <x:c r="E18" s="78" t="str">
        <x:v>Trailing 12 months; market-wide active listings</x:v>
      </x:c>
      <x:c r="F18" s="78" t="str">
        <x:v>Vendor averages mix property size, availability and geography; verify a matched comp set.</x:v>
      </x:c>
      <x:c r="G18" s="92" t="n">
        <x:v>-0.234</x:v>
      </x:c>
      <x:c r="H18" s="115" t="n">
        <x:f>IF(OR('100 Markets'!E18="",'100 Markets'!F18=""),"",'100 Markets'!E18*'100 Markets'!F18)</x:f>
        <x:v>272.06</x:v>
      </x:c>
      <x:c r="I18" s="115"/>
      <x:c r="J18" s="78"/>
    </x:row>
    <x:row r="19" ht="78" customHeight="1">
      <x:c r="A19" s="78" t="n">
        <x:v>13</x:v>
      </x:c>
      <x:c r="B19" s="78" t="str">
        <x:v>Fort Walton Beach</x:v>
      </x:c>
      <x:c r="C19" s="78" t="str">
        <x:v>https://www.airdna.co/vacation-rental-data/app/us/florida/fort-walton-beach/overview</x:v>
      </x:c>
      <x:c r="D19" s="78" t="str">
        <x:v>2026-07-05</x:v>
      </x:c>
      <x:c r="E19" s="78" t="str">
        <x:v>Trailing 12 months; market-wide active listings</x:v>
      </x:c>
      <x:c r="F19" s="78" t="str">
        <x:v>Vendor averages mix property size, availability and geography; verify a matched comp set.</x:v>
      </x:c>
      <x:c r="G19" s="92" t="n">
        <x:v>0.027</x:v>
      </x:c>
      <x:c r="H19" s="115" t="n">
        <x:f>IF(OR('100 Markets'!E19="",'100 Markets'!F19=""),"",'100 Markets'!E19*'100 Markets'!F19)</x:f>
        <x:v>202.79999999999998</x:v>
      </x:c>
      <x:c r="I19" s="115"/>
      <x:c r="J19" s="78"/>
    </x:row>
    <x:row r="20" ht="78" customHeight="1">
      <x:c r="A20" s="78" t="n">
        <x:v>14</x:v>
      </x:c>
      <x:c r="B20" s="78" t="str">
        <x:v>Pensacola</x:v>
      </x:c>
      <x:c r="C20" s="78" t="str">
        <x:v>https://www.airdna.co/vacation-rental-data/app/us/florida/pensacola/overview</x:v>
      </x:c>
      <x:c r="D20" s="78" t="str">
        <x:v>2026-09-01</x:v>
      </x:c>
      <x:c r="E20" s="78" t="str">
        <x:v>Trailing 12 months; market-wide active listings</x:v>
      </x:c>
      <x:c r="F20" s="78" t="str">
        <x:v>Vendor averages mix property size, availability and geography; verify a matched comp set.</x:v>
      </x:c>
      <x:c r="G20" s="92" t="n">
        <x:v>0.455</x:v>
      </x:c>
      <x:c r="H20" s="115" t="n">
        <x:f>IF(OR('100 Markets'!E20="",'100 Markets'!F20=""),"",'100 Markets'!E20*'100 Markets'!F20)</x:f>
        <x:v>195.81</x:v>
      </x:c>
      <x:c r="I20" s="115"/>
      <x:c r="J20" s="78"/>
    </x:row>
    <x:row r="21" ht="78" customHeight="1">
      <x:c r="A21" s="78" t="n">
        <x:v>15</x:v>
      </x:c>
      <x:c r="B21" s="78" t="str">
        <x:v>Kissimmee</x:v>
      </x:c>
      <x:c r="C21" s="78" t="str">
        <x:v>https://rabbu.com/airbnb-data/kissimmee-fl</x:v>
      </x:c>
      <x:c r="D21" s="78" t="str">
        <x:v>2026-04-27</x:v>
      </x:c>
      <x:c r="E21" s="78" t="str">
        <x:v>Historical 12-month average (Rabbu)</x:v>
      </x:c>
      <x:c r="F21" s="78" t="str">
        <x:v>AirDNA public snapshot had &gt;90% listing-count discontinuity; used older Rabbu snapshot. Provider/geography and occupancy periods differ.</x:v>
      </x:c>
      <x:c r="G21" s="92"/>
      <x:c r="H21" s="115" t="n">
        <x:f>IF(OR('100 Markets'!E21="",'100 Markets'!F21=""),"",'100 Markets'!E21*'100 Markets'!F21)</x:f>
        <x:v>109.44</x:v>
      </x:c>
      <x:c r="I21" s="115"/>
      <x:c r="J21" s="78" t="str">
        <x:v>https://www.airdna.co/vacation-rental-data/app/us/florida/kissimmee/overview</x:v>
      </x:c>
    </x:row>
    <x:row r="22" ht="78" customHeight="1">
      <x:c r="A22" s="78" t="n">
        <x:v>16</x:v>
      </x:c>
      <x:c r="B22" s="78" t="str">
        <x:v>Davenport</x:v>
      </x:c>
      <x:c r="C22" s="78" t="str">
        <x:v>https://rabbu.com/airbnb-data/davenport-fl</x:v>
      </x:c>
      <x:c r="D22" s="78" t="str">
        <x:v>2026-04-27</x:v>
      </x:c>
      <x:c r="E22" s="78" t="str">
        <x:v>Historical 12-month average (Rabbu)</x:v>
      </x:c>
      <x:c r="F22" s="78" t="str">
        <x:v>AirDNA public snapshot had &gt;90% listing-count discontinuity; used older Rabbu snapshot. Provider/geography and occupancy periods differ.</x:v>
      </x:c>
      <x:c r="G22" s="92"/>
      <x:c r="H22" s="115" t="n">
        <x:f>IF(OR('100 Markets'!E22="",'100 Markets'!F22=""),"",'100 Markets'!E22*'100 Markets'!F22)</x:f>
        <x:v>99.32000000000001</x:v>
      </x:c>
      <x:c r="I22" s="115"/>
      <x:c r="J22" s="78" t="str">
        <x:v>https://www.airdna.co/vacation-rental-data/app/us/florida/davenport/overview</x:v>
      </x:c>
    </x:row>
    <x:row r="23" ht="78" customHeight="1">
      <x:c r="A23" s="78" t="n">
        <x:v>17</x:v>
      </x:c>
      <x:c r="B23" s="78" t="str">
        <x:v>St. Augustine</x:v>
      </x:c>
      <x:c r="C23" s="78" t="str">
        <x:v>https://www.airdna.co/vacation-rental-data/app/us/florida/saint-augustine/overview</x:v>
      </x:c>
      <x:c r="D23" s="78" t="str">
        <x:v>2026-07-05</x:v>
      </x:c>
      <x:c r="E23" s="78" t="str">
        <x:v>Trailing 12 months; market-wide active listings</x:v>
      </x:c>
      <x:c r="F23" s="78" t="str">
        <x:v>Vendor averages mix property size, availability and geography; verify a matched comp set.</x:v>
      </x:c>
      <x:c r="G23" s="92" t="n">
        <x:v>-0.054</x:v>
      </x:c>
      <x:c r="H23" s="115" t="n">
        <x:f>IF(OR('100 Markets'!E23="",'100 Markets'!F23=""),"",'100 Markets'!E23*'100 Markets'!F23)</x:f>
        <x:v>158.95000000000002</x:v>
      </x:c>
      <x:c r="I23" s="115"/>
      <x:c r="J23" s="78"/>
    </x:row>
    <x:row r="24" ht="78" customHeight="1">
      <x:c r="A24" s="78" t="n">
        <x:v>18</x:v>
      </x:c>
      <x:c r="B24" s="78" t="str">
        <x:v>Crystal River</x:v>
      </x:c>
      <x:c r="C24" s="78" t="str">
        <x:v>https://www.airdna.co/vacation-rental-data/app/us/florida/crystal-river/overview</x:v>
      </x:c>
      <x:c r="D24" s="78" t="str">
        <x:v>2026-08-05</x:v>
      </x:c>
      <x:c r="E24" s="78" t="str">
        <x:v>Trailing 12 months; market-wide active listings</x:v>
      </x:c>
      <x:c r="F24" s="78" t="str">
        <x:v>Vendor averages mix property size, availability and geography; verify a matched comp set.</x:v>
      </x:c>
      <x:c r="G24" s="92" t="n">
        <x:v>-0.003</x:v>
      </x:c>
      <x:c r="H24" s="115" t="n">
        <x:f>IF(OR('100 Markets'!E24="",'100 Markets'!F24=""),"",'100 Markets'!E24*'100 Markets'!F24)</x:f>
        <x:v>115.5</x:v>
      </x:c>
      <x:c r="I24" s="115"/>
      <x:c r="J24" s="78"/>
    </x:row>
    <x:row r="25" ht="78" customHeight="1">
      <x:c r="A25" s="78" t="n">
        <x:v>19</x:v>
      </x:c>
      <x:c r="B25" s="78" t="str">
        <x:v>Cape Coral</x:v>
      </x:c>
      <x:c r="C25" s="78" t="str">
        <x:v>https://www.airdna.co/vacation-rental-data/app/us/florida/cape-coral/overview</x:v>
      </x:c>
      <x:c r="D25" s="78" t="str">
        <x:v>2026-08-05</x:v>
      </x:c>
      <x:c r="E25" s="78" t="str">
        <x:v>Trailing 12 months; market-wide active listings</x:v>
      </x:c>
      <x:c r="F25" s="78" t="str">
        <x:v>Vendor averages mix property size, availability and geography; verify a matched comp set.</x:v>
      </x:c>
      <x:c r="G25" s="92" t="n">
        <x:v>-0.076</x:v>
      </x:c>
      <x:c r="H25" s="115" t="n">
        <x:f>IF(OR('100 Markets'!E25="",'100 Markets'!F25=""),"",'100 Markets'!E25*'100 Markets'!F25)</x:f>
        <x:v>145.20000000000002</x:v>
      </x:c>
      <x:c r="I25" s="115"/>
      <x:c r="J25" s="78"/>
    </x:row>
    <x:row r="26" ht="78" customHeight="1">
      <x:c r="A26" s="78" t="n">
        <x:v>20</x:v>
      </x:c>
      <x:c r="B26" s="78" t="str">
        <x:v>Fort Lauderdale</x:v>
      </x:c>
      <x:c r="C26" s="78" t="str">
        <x:v>https://www.airdna.co/vacation-rental-data/app/us/florida/fort-lauderdale/overview</x:v>
      </x:c>
      <x:c r="D26" s="78" t="str">
        <x:v>2026-08-05</x:v>
      </x:c>
      <x:c r="E26" s="78" t="str">
        <x:v>Trailing 12 months; market-wide active listings</x:v>
      </x:c>
      <x:c r="F26" s="78" t="str">
        <x:v>Vendor averages mix property size, availability and geography; verify a matched comp set.</x:v>
      </x:c>
      <x:c r="G26" s="92" t="n">
        <x:v>-0.076</x:v>
      </x:c>
      <x:c r="H26" s="115" t="n">
        <x:f>IF(OR('100 Markets'!E26="",'100 Markets'!F26=""),"",'100 Markets'!E26*'100 Markets'!F26)</x:f>
        <x:v>175.5</x:v>
      </x:c>
      <x:c r="I26" s="115"/>
      <x:c r="J26" s="78"/>
    </x:row>
    <x:row r="27" ht="78" customHeight="1">
      <x:c r="A27" s="78" t="n">
        <x:v>21</x:v>
      </x:c>
      <x:c r="B27" s="78" t="str">
        <x:v>Myrtle Beach</x:v>
      </x:c>
      <x:c r="C27" s="78" t="str">
        <x:v>https://www.airdna.co/vacation-rental-data/app/us/south-carolina/myrtle-beach/overview</x:v>
      </x:c>
      <x:c r="D27" s="78" t="str">
        <x:v>2026-09-01</x:v>
      </x:c>
      <x:c r="E27" s="78" t="str">
        <x:v>Trailing 12 months; market-wide active listings</x:v>
      </x:c>
      <x:c r="F27" s="78" t="str">
        <x:v>Vendor averages mix property size, availability and geography; verify a matched comp set.</x:v>
      </x:c>
      <x:c r="G27" s="92" t="n">
        <x:v>-0.068</x:v>
      </x:c>
      <x:c r="H27" s="115" t="n">
        <x:f>IF(OR('100 Markets'!E27="",'100 Markets'!F27=""),"",'100 Markets'!E27*'100 Markets'!F27)</x:f>
        <x:v>154</x:v>
      </x:c>
      <x:c r="I27" s="115"/>
      <x:c r="J27" s="78"/>
    </x:row>
    <x:row r="28" ht="78" customHeight="1">
      <x:c r="A28" s="78" t="n">
        <x:v>22</x:v>
      </x:c>
      <x:c r="B28" s="78" t="str">
        <x:v>North Myrtle Beach</x:v>
      </x:c>
      <x:c r="C28" s="78" t="str">
        <x:v>https://www.airdna.co/vacation-rental-data/app/us/south-carolina/north-myrtle-beach/overview</x:v>
      </x:c>
      <x:c r="D28" s="78" t="str">
        <x:v>2026-07-05</x:v>
      </x:c>
      <x:c r="E28" s="78" t="str">
        <x:v>Trailing 12 months; market-wide active listings</x:v>
      </x:c>
      <x:c r="F28" s="78" t="str">
        <x:v>Vendor averages mix property size, availability and geography; verify a matched comp set.</x:v>
      </x:c>
      <x:c r="G28" s="92" t="n">
        <x:v>-0.12</x:v>
      </x:c>
      <x:c r="H28" s="115" t="n">
        <x:f>IF(OR('100 Markets'!E28="",'100 Markets'!F28=""),"",'100 Markets'!E28*'100 Markets'!F28)</x:f>
        <x:v>205.70000000000002</x:v>
      </x:c>
      <x:c r="I28" s="115"/>
      <x:c r="J28" s="78"/>
    </x:row>
    <x:row r="29" ht="78" customHeight="1">
      <x:c r="A29" s="78" t="n">
        <x:v>23</x:v>
      </x:c>
      <x:c r="B29" s="78" t="str">
        <x:v>Hilton Head Island</x:v>
      </x:c>
      <x:c r="C29" s="78" t="str">
        <x:v>https://www.airdna.co/vacation-rental-data/app/us/south-carolina/hilton-head-island/overview</x:v>
      </x:c>
      <x:c r="D29" s="78" t="str">
        <x:v>2026-09-01</x:v>
      </x:c>
      <x:c r="E29" s="78" t="str">
        <x:v>Trailing 12 months; market-wide active listings</x:v>
      </x:c>
      <x:c r="F29" s="78" t="str">
        <x:v>Vendor averages mix property size, availability and geography; verify a matched comp set.</x:v>
      </x:c>
      <x:c r="G29" s="92" t="n">
        <x:v>-0.296</x:v>
      </x:c>
      <x:c r="H29" s="115" t="n">
        <x:f>IF(OR('100 Markets'!E29="",'100 Markets'!F29=""),"",'100 Markets'!E29*'100 Markets'!F29)</x:f>
        <x:v>248.98</x:v>
      </x:c>
      <x:c r="I29" s="115"/>
      <x:c r="J29" s="78"/>
    </x:row>
    <x:row r="30" ht="78" customHeight="1">
      <x:c r="A30" s="78" t="n">
        <x:v>24</x:v>
      </x:c>
      <x:c r="B30" s="78" t="str">
        <x:v>Charleston</x:v>
      </x:c>
      <x:c r="C30" s="78" t="str">
        <x:v>https://www.airdna.co/vacation-rental-data/app/us/south-carolina/charleston/overview</x:v>
      </x:c>
      <x:c r="D30" s="78" t="str">
        <x:v>2026-09-01</x:v>
      </x:c>
      <x:c r="E30" s="78" t="str">
        <x:v>Trailing 12 months; market-wide active listings</x:v>
      </x:c>
      <x:c r="F30" s="78" t="str">
        <x:v>Vendor averages mix property size, availability and geography; verify a matched comp set.</x:v>
      </x:c>
      <x:c r="G30" s="92" t="n">
        <x:v>1.361</x:v>
      </x:c>
      <x:c r="H30" s="115" t="n">
        <x:f>IF(OR('100 Markets'!E30="",'100 Markets'!F30=""),"",'100 Markets'!E30*'100 Markets'!F30)</x:f>
        <x:v>270.9</x:v>
      </x:c>
      <x:c r="I30" s="115"/>
      <x:c r="J30" s="78"/>
    </x:row>
    <x:row r="31" ht="78" customHeight="1">
      <x:c r="A31" s="78" t="n">
        <x:v>25</x:v>
      </x:c>
      <x:c r="B31" s="78" t="str">
        <x:v>Wilmington</x:v>
      </x:c>
      <x:c r="C31" s="78" t="str">
        <x:v>https://rabbu.com/airbnb-data/wilmington-nc</x:v>
      </x:c>
      <x:c r="D31" s="78" t="str">
        <x:v>2026-03-15</x:v>
      </x:c>
      <x:c r="E31" s="78" t="str">
        <x:v>Projection only; NOT historical annual revenue</x:v>
      </x:c>
      <x:c r="F31" s="78" t="str">
        <x:v>AirDNA public listing count +451.7% indicated possible geographic/series discontinuity. Rabbu projected annual revenue kept separate; ADR/occupancy are snapshot metrics.</x:v>
      </x:c>
      <x:c r="G31" s="92"/>
      <x:c r="H31" s="115" t="n">
        <x:f>IF(OR('100 Markets'!E31="",'100 Markets'!F31=""),"",'100 Markets'!E31*'100 Markets'!F31)</x:f>
        <x:v>53.44</x:v>
      </x:c>
      <x:c r="I31" s="115" t="n">
        <x:v>50785</x:v>
      </x:c>
      <x:c r="J31" s="78" t="str">
        <x:v>https://www.airdna.co/vacation-rental-data/app/us/north-carolina/wilmington/overview</x:v>
      </x:c>
    </x:row>
    <x:row r="32" ht="78" customHeight="1">
      <x:c r="A32" s="78" t="n">
        <x:v>26</x:v>
      </x:c>
      <x:c r="B32" s="78" t="str">
        <x:v>Carolina Beach</x:v>
      </x:c>
      <x:c r="C32" s="78" t="str">
        <x:v>https://www.airdna.co/vacation-rental-data/app/us/north-carolina/carolina-beach/overview</x:v>
      </x:c>
      <x:c r="D32" s="78" t="str">
        <x:v>2026-09-01</x:v>
      </x:c>
      <x:c r="E32" s="78" t="str">
        <x:v>Trailing 12 months; market-wide active listings</x:v>
      </x:c>
      <x:c r="F32" s="78" t="str">
        <x:v>Vendor averages mix property size, availability and geography; verify a matched comp set.</x:v>
      </x:c>
      <x:c r="G32" s="92" t="n">
        <x:v>-0.016</x:v>
      </x:c>
      <x:c r="H32" s="115" t="n">
        <x:f>IF(OR('100 Markets'!E32="",'100 Markets'!F32=""),"",'100 Markets'!E32*'100 Markets'!F32)</x:f>
        <x:v>204.4</x:v>
      </x:c>
      <x:c r="I32" s="115"/>
      <x:c r="J32" s="78"/>
    </x:row>
    <x:row r="33" ht="78" customHeight="1">
      <x:c r="A33" s="78" t="n">
        <x:v>27</x:v>
      </x:c>
      <x:c r="B33" s="78" t="str">
        <x:v>Oak Island</x:v>
      </x:c>
      <x:c r="C33" s="78" t="str">
        <x:v>https://www.airdna.co/vacation-rental-data/app/us/north-carolina/oak-island/overview</x:v>
      </x:c>
      <x:c r="D33" s="78" t="str">
        <x:v>Not disclosed</x:v>
      </x:c>
      <x:c r="E33" s="78" t="str">
        <x:v>Trailing 12 months; market-wide active listings</x:v>
      </x:c>
      <x:c r="F33" s="78" t="str">
        <x:v>Vendor averages mix property size, availability and geography; verify a matched comp set.</x:v>
      </x:c>
      <x:c r="G33" s="92"/>
      <x:c r="H33" s="115" t="n">
        <x:f>IF(OR('100 Markets'!E33="",'100 Markets'!F33=""),"",'100 Markets'!E33*'100 Markets'!F33)</x:f>
        <x:v>258.39000000000004</x:v>
      </x:c>
      <x:c r="I33" s="115"/>
      <x:c r="J33" s="78"/>
    </x:row>
    <x:row r="34" ht="78" customHeight="1">
      <x:c r="A34" s="78" t="n">
        <x:v>28</x:v>
      </x:c>
      <x:c r="B34" s="78" t="str">
        <x:v>Nags Head</x:v>
      </x:c>
      <x:c r="C34" s="78" t="str">
        <x:v>https://www.airdna.co/vacation-rental-data/app/us/north-carolina/nags-head/overview</x:v>
      </x:c>
      <x:c r="D34" s="78" t="str">
        <x:v>2026-08-25</x:v>
      </x:c>
      <x:c r="E34" s="78" t="str">
        <x:v>Trailing 12 months; market-wide active listings</x:v>
      </x:c>
      <x:c r="F34" s="78" t="str">
        <x:v>Vendor averages mix property size, availability and geography; verify a matched comp set.</x:v>
      </x:c>
      <x:c r="G34" s="92" t="n">
        <x:v>-0.21</x:v>
      </x:c>
      <x:c r="H34" s="115" t="n">
        <x:f>IF(OR('100 Markets'!E34="",'100 Markets'!F34=""),"",'100 Markets'!E34*'100 Markets'!F34)</x:f>
        <x:v>297.07</x:v>
      </x:c>
      <x:c r="I34" s="115"/>
      <x:c r="J34" s="78"/>
    </x:row>
    <x:row r="35" ht="78" customHeight="1">
      <x:c r="A35" s="78" t="n">
        <x:v>29</x:v>
      </x:c>
      <x:c r="B35" s="78" t="str">
        <x:v>Kill Devil Hills</x:v>
      </x:c>
      <x:c r="C35" s="78" t="str">
        <x:v>https://www.airdna.co/vacation-rental-data/app/us/north-carolina/kill-devil-hills/overview</x:v>
      </x:c>
      <x:c r="D35" s="78" t="str">
        <x:v>2026-08-05</x:v>
      </x:c>
      <x:c r="E35" s="78" t="str">
        <x:v>Trailing 12 months; market-wide active listings</x:v>
      </x:c>
      <x:c r="F35" s="78" t="str">
        <x:v>Vendor averages mix property size, availability and geography; verify a matched comp set.</x:v>
      </x:c>
      <x:c r="G35" s="92" t="n">
        <x:v>-0.052</x:v>
      </x:c>
      <x:c r="H35" s="115" t="n">
        <x:f>IF(OR('100 Markets'!E35="",'100 Markets'!F35=""),"",'100 Markets'!E35*'100 Markets'!F35)</x:f>
        <x:v>220.01999999999998</x:v>
      </x:c>
      <x:c r="I35" s="115"/>
      <x:c r="J35" s="78"/>
    </x:row>
    <x:row r="36" ht="78" customHeight="1">
      <x:c r="A36" s="78" t="n">
        <x:v>30</x:v>
      </x:c>
      <x:c r="B36" s="78" t="str">
        <x:v>Corolla</x:v>
      </x:c>
      <x:c r="C36" s="78" t="str">
        <x:v>https://www.airdna.co/vacation-rental-data/app/us/north-carolina/corolla/overview</x:v>
      </x:c>
      <x:c r="D36" s="78" t="str">
        <x:v>2026-08-25</x:v>
      </x:c>
      <x:c r="E36" s="78" t="str">
        <x:v>Trailing 12 months; market-wide active listings</x:v>
      </x:c>
      <x:c r="F36" s="78" t="str">
        <x:v>Vendor averages mix property size, availability and geography; verify a matched comp set.</x:v>
      </x:c>
      <x:c r="G36" s="92" t="n">
        <x:v>-0.264</x:v>
      </x:c>
      <x:c r="H36" s="115" t="n">
        <x:f>IF(OR('100 Markets'!E36="",'100 Markets'!F36=""),"",'100 Markets'!E36*'100 Markets'!F36)</x:f>
        <x:v>342.2</x:v>
      </x:c>
      <x:c r="I36" s="115"/>
      <x:c r="J36" s="78"/>
    </x:row>
    <x:row r="37" ht="78" customHeight="1">
      <x:c r="A37" s="78" t="n">
        <x:v>31</x:v>
      </x:c>
      <x:c r="B37" s="78" t="str">
        <x:v>Boone</x:v>
      </x:c>
      <x:c r="C37" s="78" t="str">
        <x:v>https://www.airdna.co/vacation-rental-data/app/us/north-carolina/boone/overview</x:v>
      </x:c>
      <x:c r="D37" s="78" t="str">
        <x:v>2026-08-05</x:v>
      </x:c>
      <x:c r="E37" s="78" t="str">
        <x:v>Trailing 12 months; market-wide active listings</x:v>
      </x:c>
      <x:c r="F37" s="78" t="str">
        <x:v>Vendor averages mix property size, availability and geography; verify a matched comp set.</x:v>
      </x:c>
      <x:c r="G37" s="92" t="n">
        <x:v>-0.095</x:v>
      </x:c>
      <x:c r="H37" s="115" t="n">
        <x:f>IF(OR('100 Markets'!E37="",'100 Markets'!F37=""),"",'100 Markets'!E37*'100 Markets'!F37)</x:f>
        <x:v>157.92</x:v>
      </x:c>
      <x:c r="I37" s="115"/>
      <x:c r="J37" s="78"/>
    </x:row>
    <x:row r="38" ht="78" customHeight="1">
      <x:c r="A38" s="78" t="n">
        <x:v>32</x:v>
      </x:c>
      <x:c r="B38" s="78" t="str">
        <x:v>Banner Elk</x:v>
      </x:c>
      <x:c r="C38" s="78" t="str">
        <x:v>https://www.airdna.co/vacation-rental-data/app/us/north-carolina/banner-elk/overview</x:v>
      </x:c>
      <x:c r="D38" s="78" t="str">
        <x:v>2026-08-05</x:v>
      </x:c>
      <x:c r="E38" s="78" t="str">
        <x:v>Trailing 12 months; market-wide active listings</x:v>
      </x:c>
      <x:c r="F38" s="78" t="str">
        <x:v>Vendor averages mix property size, availability and geography; verify a matched comp set.</x:v>
      </x:c>
      <x:c r="G38" s="92" t="n">
        <x:v>-0.113</x:v>
      </x:c>
      <x:c r="H38" s="115" t="n">
        <x:f>IF(OR('100 Markets'!E38="",'100 Markets'!F38=""),"",'100 Markets'!E38*'100 Markets'!F38)</x:f>
        <x:v>140.22</x:v>
      </x:c>
      <x:c r="I38" s="115"/>
      <x:c r="J38" s="78"/>
    </x:row>
    <x:row r="39" ht="78" customHeight="1">
      <x:c r="A39" s="78" t="n">
        <x:v>33</x:v>
      </x:c>
      <x:c r="B39" s="78" t="str">
        <x:v>Bryson City</x:v>
      </x:c>
      <x:c r="C39" s="78" t="str">
        <x:v>https://www.airdna.co/vacation-rental-data/app/us/north-carolina/bryson-city/overview</x:v>
      </x:c>
      <x:c r="D39" s="78" t="str">
        <x:v>2026-08-05</x:v>
      </x:c>
      <x:c r="E39" s="78" t="str">
        <x:v>Trailing 12 months; market-wide active listings</x:v>
      </x:c>
      <x:c r="F39" s="78" t="str">
        <x:v>Vendor averages mix property size, availability and geography; verify a matched comp set.</x:v>
      </x:c>
      <x:c r="G39" s="92" t="n">
        <x:v>0.001</x:v>
      </x:c>
      <x:c r="H39" s="115" t="n">
        <x:f>IF(OR('100 Markets'!E39="",'100 Markets'!F39=""),"",'100 Markets'!E39*'100 Markets'!F39)</x:f>
        <x:v>123.48</x:v>
      </x:c>
      <x:c r="I39" s="115"/>
      <x:c r="J39" s="78"/>
    </x:row>
    <x:row r="40" ht="78" customHeight="1">
      <x:c r="A40" s="78" t="n">
        <x:v>34</x:v>
      </x:c>
      <x:c r="B40" s="78" t="str">
        <x:v>Asheville</x:v>
      </x:c>
      <x:c r="C40" s="78" t="str">
        <x:v>https://www.airdna.co/vacation-rental-data/app/us/north-carolina/asheville/overview</x:v>
      </x:c>
      <x:c r="D40" s="78" t="str">
        <x:v>2026-08-05</x:v>
      </x:c>
      <x:c r="E40" s="78" t="str">
        <x:v>Trailing 12 months; market-wide active listings</x:v>
      </x:c>
      <x:c r="F40" s="78" t="str">
        <x:v>Vendor averages mix property size, availability and geography; verify a matched comp set.</x:v>
      </x:c>
      <x:c r="G40" s="92" t="n">
        <x:v>-0.137</x:v>
      </x:c>
      <x:c r="H40" s="115" t="n">
        <x:f>IF(OR('100 Markets'!E40="",'100 Markets'!F40=""),"",'100 Markets'!E40*'100 Markets'!F40)</x:f>
        <x:v>127.12000000000002</x:v>
      </x:c>
      <x:c r="I40" s="115"/>
      <x:c r="J40" s="78"/>
    </x:row>
    <x:row r="41" ht="78" customHeight="1">
      <x:c r="A41" s="78" t="n">
        <x:v>35</x:v>
      </x:c>
      <x:c r="B41" s="78" t="str">
        <x:v>Luray</x:v>
      </x:c>
      <x:c r="C41" s="78" t="str">
        <x:v>https://www.airdna.co/vacation-rental-data/app/us/virginia/luray/overview</x:v>
      </x:c>
      <x:c r="D41" s="78" t="str">
        <x:v>Not disclosed</x:v>
      </x:c>
      <x:c r="E41" s="78" t="str">
        <x:v>Trailing 12 months; market-wide active listings</x:v>
      </x:c>
      <x:c r="F41" s="78" t="str">
        <x:v>Vendor averages mix property size, availability and geography; verify a matched comp set.</x:v>
      </x:c>
      <x:c r="G41" s="92"/>
      <x:c r="H41" s="115" t="n">
        <x:f>IF(OR('100 Markets'!E41="",'100 Markets'!F41=""),"",'100 Markets'!E41*'100 Markets'!F41)</x:f>
        <x:v>124.61399999999999</x:v>
      </x:c>
      <x:c r="I41" s="115"/>
      <x:c r="J41" s="78"/>
    </x:row>
    <x:row r="42" ht="78" customHeight="1">
      <x:c r="A42" s="78" t="n">
        <x:v>36</x:v>
      </x:c>
      <x:c r="B42" s="78" t="str">
        <x:v>Front Royal</x:v>
      </x:c>
      <x:c r="C42" s="78" t="str">
        <x:v>https://www.airdna.co/vacation-rental-data/app/us/virginia/front-royal/overview</x:v>
      </x:c>
      <x:c r="D42" s="78" t="str">
        <x:v>2026-08-05</x:v>
      </x:c>
      <x:c r="E42" s="78" t="str">
        <x:v>Trailing 12 months; market-wide active listings</x:v>
      </x:c>
      <x:c r="F42" s="78" t="str">
        <x:v>Vendor averages mix property size, availability and geography; verify a matched comp set.</x:v>
      </x:c>
      <x:c r="G42" s="92" t="n">
        <x:v>-0.052</x:v>
      </x:c>
      <x:c r="H42" s="115" t="n">
        <x:f>IF(OR('100 Markets'!E42="",'100 Markets'!F42=""),"",'100 Markets'!E42*'100 Markets'!F42)</x:f>
        <x:v>125.96</x:v>
      </x:c>
      <x:c r="I42" s="115"/>
      <x:c r="J42" s="78"/>
    </x:row>
    <x:row r="43" ht="78" customHeight="1">
      <x:c r="A43" s="78" t="n">
        <x:v>37</x:v>
      </x:c>
      <x:c r="B43" s="78" t="str">
        <x:v>Massanutten</x:v>
      </x:c>
      <x:c r="C43" s="78" t="str">
        <x:v>https://www.airdna.co/vacation-rental-data/app/us/virginia/massanutten/overview</x:v>
      </x:c>
      <x:c r="D43" s="78"/>
      <x:c r="E43" s="78"/>
      <x:c r="F43" s="78" t="str">
        <x:v>Vendor averages mix property size, availability and geography; verify a matched comp set.</x:v>
      </x:c>
      <x:c r="G43" s="92"/>
      <x:c r="H43" s="115" t="str">
        <x:f>IF(OR('100 Markets'!E43="",'100 Markets'!F43=""),"",'100 Markets'!E43*'100 Markets'!F43)</x:f>
      </x:c>
      <x:c r="I43" s="115"/>
      <x:c r="J43" s="78"/>
    </x:row>
    <x:row r="44" ht="78" customHeight="1">
      <x:c r="A44" s="78" t="n">
        <x:v>38</x:v>
      </x:c>
      <x:c r="B44" s="78" t="str">
        <x:v>Stowe</x:v>
      </x:c>
      <x:c r="C44" s="78" t="str">
        <x:v>https://www.airdna.co/vacation-rental-data/app/us/vermont/stowe/overview</x:v>
      </x:c>
      <x:c r="D44" s="78" t="str">
        <x:v>Not disclosed</x:v>
      </x:c>
      <x:c r="E44" s="78" t="str">
        <x:v>Trailing 12 months; market-wide active listings</x:v>
      </x:c>
      <x:c r="F44" s="78" t="str">
        <x:v>Vendor averages mix property size, availability and geography; verify a matched comp set.</x:v>
      </x:c>
      <x:c r="G44" s="92"/>
      <x:c r="H44" s="115" t="n">
        <x:f>IF(OR('100 Markets'!E44="",'100 Markets'!F44=""),"",'100 Markets'!E44*'100 Markets'!F44)</x:f>
        <x:v>261.8</x:v>
      </x:c>
      <x:c r="I44" s="115"/>
      <x:c r="J44" s="78"/>
    </x:row>
    <x:row r="45" ht="78" customHeight="1">
      <x:c r="A45" s="78" t="n">
        <x:v>39</x:v>
      </x:c>
      <x:c r="B45" s="78" t="str">
        <x:v>Tobyhanna</x:v>
      </x:c>
      <x:c r="C45" s="78" t="str">
        <x:v>https://www.airdna.co/vacation-rental-data/app/us/pennsylvania/tobyhanna/overview</x:v>
      </x:c>
      <x:c r="D45" s="78" t="str">
        <x:v>2026-08-05</x:v>
      </x:c>
      <x:c r="E45" s="78" t="str">
        <x:v>Trailing 12 months; market-wide active listings</x:v>
      </x:c>
      <x:c r="F45" s="78" t="str">
        <x:v>Vendor averages mix property size, availability and geography; verify a matched comp set.</x:v>
      </x:c>
      <x:c r="G45" s="92" t="n">
        <x:v>-0.183</x:v>
      </x:c>
      <x:c r="H45" s="115" t="n">
        <x:f>IF(OR('100 Markets'!E45="",'100 Markets'!F45=""),"",'100 Markets'!E45*'100 Markets'!F45)</x:f>
        <x:v>150.93</x:v>
      </x:c>
      <x:c r="I45" s="115"/>
      <x:c r="J45" s="78"/>
    </x:row>
    <x:row r="46" ht="78" customHeight="1">
      <x:c r="A46" s="78" t="n">
        <x:v>40</x:v>
      </x:c>
      <x:c r="B46" s="78" t="str">
        <x:v>Pocono Pines</x:v>
      </x:c>
      <x:c r="C46" s="78" t="str">
        <x:v>https://www.airdna.co/vacation-rental-data/app/us/pennsylvania/pocono-pines/overview</x:v>
      </x:c>
      <x:c r="D46" s="78" t="str">
        <x:v>2026-07-05</x:v>
      </x:c>
      <x:c r="E46" s="78" t="str">
        <x:v>Trailing 12 months; market-wide active listings</x:v>
      </x:c>
      <x:c r="F46" s="78" t="str">
        <x:v>Vendor averages mix property size, availability and geography; verify a matched comp set.</x:v>
      </x:c>
      <x:c r="G46" s="92" t="n">
        <x:v>-0.066</x:v>
      </x:c>
      <x:c r="H46" s="115" t="n">
        <x:f>IF(OR('100 Markets'!E46="",'100 Markets'!F46=""),"",'100 Markets'!E46*'100 Markets'!F46)</x:f>
        <x:v>152</x:v>
      </x:c>
      <x:c r="I46" s="115"/>
      <x:c r="J46" s="78"/>
    </x:row>
    <x:row r="47" ht="78" customHeight="1">
      <x:c r="A47" s="78" t="n">
        <x:v>41</x:v>
      </x:c>
      <x:c r="B47" s="78" t="str">
        <x:v>Jim Thorpe</x:v>
      </x:c>
      <x:c r="C47" s="78" t="str">
        <x:v>https://www.airdna.co/vacation-rental-data/app/us/pennsylvania/jim-thorpe/overview</x:v>
      </x:c>
      <x:c r="D47" s="78" t="str">
        <x:v>Not disclosed</x:v>
      </x:c>
      <x:c r="E47" s="78" t="str">
        <x:v>Trailing 12 months; market-wide active listings</x:v>
      </x:c>
      <x:c r="F47" s="78" t="str">
        <x:v>Vendor averages mix property size, availability and geography; verify a matched comp set.</x:v>
      </x:c>
      <x:c r="G47" s="92"/>
      <x:c r="H47" s="115" t="n">
        <x:f>IF(OR('100 Markets'!E47="",'100 Markets'!F47=""),"",'100 Markets'!E47*'100 Markets'!F47)</x:f>
        <x:v>135.56400000000002</x:v>
      </x:c>
      <x:c r="I47" s="115"/>
      <x:c r="J47" s="78"/>
    </x:row>
    <x:row r="48" ht="78" customHeight="1">
      <x:c r="A48" s="78" t="n">
        <x:v>42</x:v>
      </x:c>
      <x:c r="B48" s="78" t="str">
        <x:v>Lake Harmony</x:v>
      </x:c>
      <x:c r="C48" s="78" t="str">
        <x:v>https://www.airdna.co/vacation-rental-data/app/us/pennsylvania/lake-harmony/overview</x:v>
      </x:c>
      <x:c r="D48" s="78" t="str">
        <x:v>Not disclosed</x:v>
      </x:c>
      <x:c r="E48" s="78" t="str">
        <x:v>Trailing 12 months; market-wide active listings</x:v>
      </x:c>
      <x:c r="F48" s="78" t="str">
        <x:v>Vendor averages mix property size, availability and geography; verify a matched comp set.</x:v>
      </x:c>
      <x:c r="G48" s="92"/>
      <x:c r="H48" s="115" t="n">
        <x:f>IF(OR('100 Markets'!E48="",'100 Markets'!F48=""),"",'100 Markets'!E48*'100 Markets'!F48)</x:f>
        <x:v>216.828</x:v>
      </x:c>
      <x:c r="I48" s="115"/>
      <x:c r="J48" s="78"/>
    </x:row>
    <x:row r="49" ht="78" customHeight="1">
      <x:c r="A49" s="78" t="n">
        <x:v>43</x:v>
      </x:c>
      <x:c r="B49" s="78" t="str">
        <x:v>Lancaster</x:v>
      </x:c>
      <x:c r="C49" s="78" t="str">
        <x:v>https://www.airdna.co/vacation-rental-data/app/us/pennsylvania/lancaster/overview</x:v>
      </x:c>
      <x:c r="D49" s="78" t="str">
        <x:v>2026-08-25</x:v>
      </x:c>
      <x:c r="E49" s="78" t="str">
        <x:v>Trailing 12 months; market-wide active listings</x:v>
      </x:c>
      <x:c r="F49" s="78" t="str">
        <x:v>Vendor averages mix property size, availability and geography; verify a matched comp set.</x:v>
      </x:c>
      <x:c r="G49" s="92" t="n">
        <x:v>1.572</x:v>
      </x:c>
      <x:c r="H49" s="115" t="n">
        <x:f>IF(OR('100 Markets'!E49="",'100 Markets'!F49=""),"",'100 Markets'!E49*'100 Markets'!F49)</x:f>
        <x:v>115.36000000000001</x:v>
      </x:c>
      <x:c r="I49" s="115"/>
      <x:c r="J49" s="78"/>
    </x:row>
    <x:row r="50" ht="78" customHeight="1">
      <x:c r="A50" s="78" t="n">
        <x:v>44</x:v>
      </x:c>
      <x:c r="B50" s="78" t="str">
        <x:v>Gettysburg</x:v>
      </x:c>
      <x:c r="C50" s="78" t="str">
        <x:v>https://www.airdna.co/vacation-rental-data/app/us/pennsylvania/gettysburg/overview</x:v>
      </x:c>
      <x:c r="D50" s="78" t="str">
        <x:v>Not disclosed</x:v>
      </x:c>
      <x:c r="E50" s="78" t="str">
        <x:v>Trailing 12 months; market-wide active listings</x:v>
      </x:c>
      <x:c r="F50" s="78" t="str">
        <x:v>Vendor averages mix property size, availability and geography; verify a matched comp set.</x:v>
      </x:c>
      <x:c r="G50" s="92"/>
      <x:c r="H50" s="115" t="n">
        <x:f>IF(OR('100 Markets'!E50="",'100 Markets'!F50=""),"",'100 Markets'!E50*'100 Markets'!F50)</x:f>
        <x:v>111.16799999999999</x:v>
      </x:c>
      <x:c r="I50" s="115"/>
      <x:c r="J50" s="78"/>
    </x:row>
    <x:row r="51" ht="78" customHeight="1">
      <x:c r="A51" s="78" t="n">
        <x:v>45</x:v>
      </x:c>
      <x:c r="B51" s="78" t="str">
        <x:v>Logan</x:v>
      </x:c>
      <x:c r="C51" s="78" t="str">
        <x:v>https://www.airdna.co/vacation-rental-data/app/us/ohio/logan/overview</x:v>
      </x:c>
      <x:c r="D51" s="78" t="str">
        <x:v>2026-08-25</x:v>
      </x:c>
      <x:c r="E51" s="78" t="str">
        <x:v>Trailing 12 months; market-wide active listings</x:v>
      </x:c>
      <x:c r="F51" s="78" t="str">
        <x:v>Vendor averages mix property size, availability and geography; verify a matched comp set.</x:v>
      </x:c>
      <x:c r="G51" s="92" t="n">
        <x:v>0.267</x:v>
      </x:c>
      <x:c r="H51" s="115" t="n">
        <x:f>IF(OR('100 Markets'!E51="",'100 Markets'!F51=""),"",'100 Markets'!E51*'100 Markets'!F51)</x:f>
        <x:v>197.88</x:v>
      </x:c>
      <x:c r="I51" s="115"/>
      <x:c r="J51" s="78"/>
    </x:row>
    <x:row r="52" ht="78" customHeight="1">
      <x:c r="A52" s="78" t="n">
        <x:v>46</x:v>
      </x:c>
      <x:c r="B52" s="78" t="str">
        <x:v>Sandusky</x:v>
      </x:c>
      <x:c r="C52" s="78" t="str">
        <x:v>https://www.airdna.co/vacation-rental-data/app/us/ohio/sandusky/overview</x:v>
      </x:c>
      <x:c r="D52" s="78" t="str">
        <x:v>Not disclosed</x:v>
      </x:c>
      <x:c r="E52" s="78" t="str">
        <x:v>Trailing 12 months; market-wide active listings</x:v>
      </x:c>
      <x:c r="F52" s="78" t="str">
        <x:v>Vendor averages mix property size, availability and geography; verify a matched comp set.</x:v>
      </x:c>
      <x:c r="G52" s="92"/>
      <x:c r="H52" s="115" t="n">
        <x:f>IF(OR('100 Markets'!E52="",'100 Markets'!F52=""),"",'100 Markets'!E52*'100 Markets'!F52)</x:f>
        <x:v>134.762</x:v>
      </x:c>
      <x:c r="I52" s="115"/>
      <x:c r="J52" s="78"/>
    </x:row>
    <x:row r="53" ht="78" customHeight="1">
      <x:c r="A53" s="78" t="n">
        <x:v>47</x:v>
      </x:c>
      <x:c r="B53" s="78" t="str">
        <x:v>Traverse City</x:v>
      </x:c>
      <x:c r="C53" s="78" t="str">
        <x:v>https://www.airdna.co/vacation-rental-data/app/us/michigan/traverse-city/overview</x:v>
      </x:c>
      <x:c r="D53" s="78" t="str">
        <x:v>2026-09-01</x:v>
      </x:c>
      <x:c r="E53" s="78" t="str">
        <x:v>Trailing 12 months; market-wide active listings</x:v>
      </x:c>
      <x:c r="F53" s="78" t="str">
        <x:v>Vendor averages mix property size, availability and geography; verify a matched comp set.</x:v>
      </x:c>
      <x:c r="G53" s="92" t="n">
        <x:v>0.978</x:v>
      </x:c>
      <x:c r="H53" s="115" t="n">
        <x:f>IF(OR('100 Markets'!E53="",'100 Markets'!F53=""),"",'100 Markets'!E53*'100 Markets'!F53)</x:f>
        <x:v>201.4</x:v>
      </x:c>
      <x:c r="I53" s="115"/>
      <x:c r="J53" s="78"/>
    </x:row>
    <x:row r="54" ht="78" customHeight="1">
      <x:c r="A54" s="78" t="n">
        <x:v>48</x:v>
      </x:c>
      <x:c r="B54" s="78" t="str">
        <x:v>New Buffalo</x:v>
      </x:c>
      <x:c r="C54" s="78" t="str">
        <x:v>https://www.airdna.co/vacation-rental-data/app/us/michigan/new-buffalo/overview</x:v>
      </x:c>
      <x:c r="D54" s="78" t="str">
        <x:v>2026-07-05</x:v>
      </x:c>
      <x:c r="E54" s="78" t="str">
        <x:v>Trailing 12 months; market-wide active listings</x:v>
      </x:c>
      <x:c r="F54" s="78" t="str">
        <x:v>Vendor averages mix property size, availability and geography; verify a matched comp set.</x:v>
      </x:c>
      <x:c r="G54" s="92" t="n">
        <x:v>-0.077</x:v>
      </x:c>
      <x:c r="H54" s="115" t="n">
        <x:f>IF(OR('100 Markets'!E54="",'100 Markets'!F54=""),"",'100 Markets'!E54*'100 Markets'!F54)</x:f>
        <x:v>345.12</x:v>
      </x:c>
      <x:c r="I54" s="115"/>
      <x:c r="J54" s="78"/>
    </x:row>
    <x:row r="55" ht="78" customHeight="1">
      <x:c r="A55" s="78" t="n">
        <x:v>49</x:v>
      </x:c>
      <x:c r="B55" s="78" t="str">
        <x:v>Wisconsin Dells</x:v>
      </x:c>
      <x:c r="C55" s="78" t="str">
        <x:v>https://www.airdna.co/vacation-rental-data/app/us/wisconsin/wisconsin-dells/overview</x:v>
      </x:c>
      <x:c r="D55" s="78" t="str">
        <x:v>2026-08-25</x:v>
      </x:c>
      <x:c r="E55" s="78" t="str">
        <x:v>Trailing 12 months; market-wide active listings</x:v>
      </x:c>
      <x:c r="F55" s="78" t="str">
        <x:v>Vendor averages mix property size, availability and geography; verify a matched comp set.</x:v>
      </x:c>
      <x:c r="G55" s="92" t="n">
        <x:v>-0.183</x:v>
      </x:c>
      <x:c r="H55" s="115" t="n">
        <x:f>IF(OR('100 Markets'!E55="",'100 Markets'!F55=""),"",'100 Markets'!E55*'100 Markets'!F55)</x:f>
        <x:v>152.55</x:v>
      </x:c>
      <x:c r="I55" s="115"/>
      <x:c r="J55" s="78"/>
    </x:row>
    <x:row r="56" ht="78" customHeight="1">
      <x:c r="A56" s="78" t="n">
        <x:v>50</x:v>
      </x:c>
      <x:c r="B56" s="78" t="str">
        <x:v>Lake Geneva</x:v>
      </x:c>
      <x:c r="C56" s="78" t="str">
        <x:v>https://www.airdna.co/vacation-rental-data/app/us/wisconsin/lake-geneva/overview</x:v>
      </x:c>
      <x:c r="D56" s="78" t="str">
        <x:v>Not disclosed</x:v>
      </x:c>
      <x:c r="E56" s="78" t="str">
        <x:v>Trailing 12 months; market-wide active listings</x:v>
      </x:c>
      <x:c r="F56" s="78" t="str">
        <x:v>Vendor averages mix property size, availability and geography; verify a matched comp set.</x:v>
      </x:c>
      <x:c r="G56" s="92"/>
      <x:c r="H56" s="115" t="n">
        <x:f>IF(OR('100 Markets'!E56="",'100 Markets'!F56=""),"",'100 Markets'!E56*'100 Markets'!F56)</x:f>
        <x:v>226.642</x:v>
      </x:c>
      <x:c r="I56" s="115"/>
      <x:c r="J56" s="78"/>
    </x:row>
    <x:row r="57" ht="78" customHeight="1">
      <x:c r="A57" s="78" t="n">
        <x:v>51</x:v>
      </x:c>
      <x:c r="B57" s="78" t="str">
        <x:v>Osage Beach</x:v>
      </x:c>
      <x:c r="C57" s="78" t="str">
        <x:v>https://www.airdna.co/vacation-rental-data/app/us/missouri/osage-beach/overview</x:v>
      </x:c>
      <x:c r="D57" s="78" t="str">
        <x:v>2026-08-05</x:v>
      </x:c>
      <x:c r="E57" s="78" t="str">
        <x:v>Trailing 12 months; market-wide active listings</x:v>
      </x:c>
      <x:c r="F57" s="78" t="str">
        <x:v>Vendor averages mix property size, availability and geography; verify a matched comp set.</x:v>
      </x:c>
      <x:c r="G57" s="92" t="n">
        <x:v>-0.008</x:v>
      </x:c>
      <x:c r="H57" s="115" t="n">
        <x:f>IF(OR('100 Markets'!E57="",'100 Markets'!F57=""),"",'100 Markets'!E57*'100 Markets'!F57)</x:f>
        <x:v>150.5</x:v>
      </x:c>
      <x:c r="I57" s="115"/>
      <x:c r="J57" s="78"/>
    </x:row>
    <x:row r="58" ht="78" customHeight="1">
      <x:c r="A58" s="78" t="n">
        <x:v>52</x:v>
      </x:c>
      <x:c r="B58" s="78" t="str">
        <x:v>Eureka Springs</x:v>
      </x:c>
      <x:c r="C58" s="78" t="str">
        <x:v>https://www.airdna.co/vacation-rental-data/app/us/arkansas/eureka-springs/overview</x:v>
      </x:c>
      <x:c r="D58" s="78" t="str">
        <x:v>2026-08-05</x:v>
      </x:c>
      <x:c r="E58" s="78" t="str">
        <x:v>Trailing 12 months; market-wide active listings</x:v>
      </x:c>
      <x:c r="F58" s="78" t="str">
        <x:v>Vendor averages mix property size, availability and geography; verify a matched comp set.</x:v>
      </x:c>
      <x:c r="G58" s="92" t="n">
        <x:v>-0.029</x:v>
      </x:c>
      <x:c r="H58" s="115" t="n">
        <x:f>IF(OR('100 Markets'!E58="",'100 Markets'!F58=""),"",'100 Markets'!E58*'100 Markets'!F58)</x:f>
        <x:v>91.52</x:v>
      </x:c>
      <x:c r="I58" s="115"/>
      <x:c r="J58" s="78"/>
    </x:row>
    <x:row r="59" ht="78" customHeight="1">
      <x:c r="A59" s="78" t="n">
        <x:v>53</x:v>
      </x:c>
      <x:c r="B59" s="78" t="str">
        <x:v>Fredericksburg</x:v>
      </x:c>
      <x:c r="C59" s="78" t="str">
        <x:v>https://www.airdna.co/vacation-rental-data/app/us/texas/fredericksburg/overview</x:v>
      </x:c>
      <x:c r="D59" s="78" t="str">
        <x:v>2026-07-05</x:v>
      </x:c>
      <x:c r="E59" s="78" t="str">
        <x:v>Trailing 12 months; market-wide active listings</x:v>
      </x:c>
      <x:c r="F59" s="78" t="str">
        <x:v>Vendor averages mix property size, availability and geography; verify a matched comp set.</x:v>
      </x:c>
      <x:c r="G59" s="92" t="n">
        <x:v>0.069</x:v>
      </x:c>
      <x:c r="H59" s="115" t="n">
        <x:f>IF(OR('100 Markets'!E59="",'100 Markets'!F59=""),"",'100 Markets'!E59*'100 Markets'!F59)</x:f>
        <x:v>133.6</x:v>
      </x:c>
      <x:c r="I59" s="115"/>
      <x:c r="J59" s="78"/>
    </x:row>
    <x:row r="60" ht="78" customHeight="1">
      <x:c r="A60" s="78" t="n">
        <x:v>54</x:v>
      </x:c>
      <x:c r="B60" s="78" t="str">
        <x:v>New Braunfels</x:v>
      </x:c>
      <x:c r="C60" s="78" t="str">
        <x:v>https://www.airdna.co/vacation-rental-data/app/us/texas/new-braunfels/overview</x:v>
      </x:c>
      <x:c r="D60" s="78" t="str">
        <x:v>2026-08-25</x:v>
      </x:c>
      <x:c r="E60" s="78" t="str">
        <x:v>Trailing 12 months; market-wide active listings</x:v>
      </x:c>
      <x:c r="F60" s="78" t="str">
        <x:v>Vendor averages mix property size, availability and geography; verify a matched comp set.</x:v>
      </x:c>
      <x:c r="G60" s="92" t="n">
        <x:v>-0.363</x:v>
      </x:c>
      <x:c r="H60" s="115" t="n">
        <x:f>IF(OR('100 Markets'!E60="",'100 Markets'!F60=""),"",'100 Markets'!E60*'100 Markets'!F60)</x:f>
        <x:v>133.20000000000002</x:v>
      </x:c>
      <x:c r="I60" s="115"/>
      <x:c r="J60" s="78"/>
    </x:row>
    <x:row r="61" ht="78" customHeight="1">
      <x:c r="A61" s="78" t="n">
        <x:v>55</x:v>
      </x:c>
      <x:c r="B61" s="78" t="str">
        <x:v>Galveston</x:v>
      </x:c>
      <x:c r="C61" s="78" t="str">
        <x:v>https://www.airdna.co/vacation-rental-data/app/us/texas/galveston/overview</x:v>
      </x:c>
      <x:c r="D61" s="78" t="str">
        <x:v>2026-08-05</x:v>
      </x:c>
      <x:c r="E61" s="78" t="str">
        <x:v>Trailing 12 months; market-wide active listings</x:v>
      </x:c>
      <x:c r="F61" s="78" t="str">
        <x:v>Vendor averages mix property size, availability and geography; verify a matched comp set.</x:v>
      </x:c>
      <x:c r="G61" s="92" t="n">
        <x:v>-0.108</x:v>
      </x:c>
      <x:c r="H61" s="115" t="n">
        <x:f>IF(OR('100 Markets'!E61="",'100 Markets'!F61=""),"",'100 Markets'!E61*'100 Markets'!F61)</x:f>
        <x:v>141.9</x:v>
      </x:c>
      <x:c r="I61" s="115"/>
      <x:c r="J61" s="78"/>
    </x:row>
    <x:row r="62" ht="78" customHeight="1">
      <x:c r="A62" s="78" t="n">
        <x:v>56</x:v>
      </x:c>
      <x:c r="B62" s="78" t="str">
        <x:v>Port Aransas</x:v>
      </x:c>
      <x:c r="C62" s="78" t="str">
        <x:v>https://www.airdna.co/vacation-rental-data/app/us/texas/port-aransas/overview</x:v>
      </x:c>
      <x:c r="D62" s="78" t="str">
        <x:v>2026-08-05</x:v>
      </x:c>
      <x:c r="E62" s="78" t="str">
        <x:v>Trailing 12 months; market-wide active listings</x:v>
      </x:c>
      <x:c r="F62" s="78" t="str">
        <x:v>Vendor averages mix property size, availability and geography; verify a matched comp set.</x:v>
      </x:c>
      <x:c r="G62" s="92" t="n">
        <x:v>0.011</x:v>
      </x:c>
      <x:c r="H62" s="115" t="n">
        <x:f>IF(OR('100 Markets'!E62="",'100 Markets'!F62=""),"",'100 Markets'!E62*'100 Markets'!F62)</x:f>
        <x:v>235.06</x:v>
      </x:c>
      <x:c r="I62" s="115"/>
      <x:c r="J62" s="78"/>
    </x:row>
    <x:row r="63" ht="78" customHeight="1">
      <x:c r="A63" s="78" t="n">
        <x:v>57</x:v>
      </x:c>
      <x:c r="B63" s="78" t="str">
        <x:v>Waco</x:v>
      </x:c>
      <x:c r="C63" s="78" t="str">
        <x:v>https://www.airdna.co/vacation-rental-data/app/us/texas/waco/overview</x:v>
      </x:c>
      <x:c r="D63" s="78" t="str">
        <x:v>2026-08-05</x:v>
      </x:c>
      <x:c r="E63" s="78" t="str">
        <x:v>Trailing 12 months; market-wide active listings</x:v>
      </x:c>
      <x:c r="F63" s="78" t="str">
        <x:v>Vendor averages mix property size, availability and geography; verify a matched comp set.</x:v>
      </x:c>
      <x:c r="G63" s="92" t="n">
        <x:v>-0.025</x:v>
      </x:c>
      <x:c r="H63" s="115" t="n">
        <x:f>IF(OR('100 Markets'!E63="",'100 Markets'!F63=""),"",'100 Markets'!E63*'100 Markets'!F63)</x:f>
        <x:v>104</x:v>
      </x:c>
      <x:c r="I63" s="115"/>
      <x:c r="J63" s="78"/>
    </x:row>
    <x:row r="64" ht="78" customHeight="1">
      <x:c r="A64" s="78" t="n">
        <x:v>58</x:v>
      </x:c>
      <x:c r="B64" s="78" t="str">
        <x:v>San Antonio</x:v>
      </x:c>
      <x:c r="C64" s="78" t="str">
        <x:v>https://www.airdna.co/vacation-rental-data/app/us/texas/san-antonio/overview</x:v>
      </x:c>
      <x:c r="D64" s="78" t="str">
        <x:v>2026-08-05</x:v>
      </x:c>
      <x:c r="E64" s="78" t="str">
        <x:v>Trailing 12 months; market-wide active listings</x:v>
      </x:c>
      <x:c r="F64" s="78" t="str">
        <x:v>Vendor averages mix property size, availability and geography; verify a matched comp set.</x:v>
      </x:c>
      <x:c r="G64" s="92" t="n">
        <x:v>-0.1</x:v>
      </x:c>
      <x:c r="H64" s="115" t="n">
        <x:f>IF(OR('100 Markets'!E64="",'100 Markets'!F64=""),"",'100 Markets'!E64*'100 Markets'!F64)</x:f>
        <x:v>96.88000000000001</x:v>
      </x:c>
      <x:c r="I64" s="115"/>
      <x:c r="J64" s="78"/>
    </x:row>
    <x:row r="65" ht="78" customHeight="1">
      <x:c r="A65" s="78" t="n">
        <x:v>59</x:v>
      </x:c>
      <x:c r="B65" s="78" t="str">
        <x:v>Houston</x:v>
      </x:c>
      <x:c r="C65" s="78" t="str">
        <x:v>https://www.airdna.co/vacation-rental-data/app/us/texas/houston/overview</x:v>
      </x:c>
      <x:c r="D65" s="78" t="str">
        <x:v>2026-07-05</x:v>
      </x:c>
      <x:c r="E65" s="78" t="str">
        <x:v>Trailing 12 months; market-wide active listings</x:v>
      </x:c>
      <x:c r="F65" s="78" t="str">
        <x:v>Vendor averages mix property size, availability and geography; verify a matched comp set.</x:v>
      </x:c>
      <x:c r="G65" s="92" t="n">
        <x:v>0.012</x:v>
      </x:c>
      <x:c r="H65" s="115" t="n">
        <x:f>IF(OR('100 Markets'!E65="",'100 Markets'!F65=""),"",'100 Markets'!E65*'100 Markets'!F65)</x:f>
        <x:v>95.5</x:v>
      </x:c>
      <x:c r="I65" s="115"/>
      <x:c r="J65" s="78"/>
    </x:row>
    <x:row r="66" ht="78" customHeight="1">
      <x:c r="A66" s="78" t="n">
        <x:v>60</x:v>
      </x:c>
      <x:c r="B66" s="78" t="str">
        <x:v>Abilene</x:v>
      </x:c>
      <x:c r="C66" s="78" t="str">
        <x:v>https://www.airdna.co/vacation-rental-data/app/us/texas/abilene/overview</x:v>
      </x:c>
      <x:c r="D66" s="78" t="str">
        <x:v>2026-09-01</x:v>
      </x:c>
      <x:c r="E66" s="78" t="str">
        <x:v>Trailing 12 months; market-wide active listings</x:v>
      </x:c>
      <x:c r="F66" s="78" t="str">
        <x:v>Vendor averages mix property size, availability and geography; verify a matched comp set.</x:v>
      </x:c>
      <x:c r="G66" s="92" t="n">
        <x:v>0.452</x:v>
      </x:c>
      <x:c r="H66" s="115" t="n">
        <x:f>IF(OR('100 Markets'!E66="",'100 Markets'!F66=""),"",'100 Markets'!E66*'100 Markets'!F66)</x:f>
        <x:v>140.62</x:v>
      </x:c>
      <x:c r="I66" s="115"/>
      <x:c r="J66" s="78"/>
    </x:row>
    <x:row r="67" ht="78" customHeight="1">
      <x:c r="A67" s="78" t="n">
        <x:v>61</x:v>
      </x:c>
      <x:c r="B67" s="78" t="str">
        <x:v>Port Arthur</x:v>
      </x:c>
      <x:c r="C67" s="78" t="str">
        <x:v>https://www.airdna.co/vacation-rental-data/app/us/texas/port-arthur/overview</x:v>
      </x:c>
      <x:c r="D67" s="78" t="str">
        <x:v>2026-09-01</x:v>
      </x:c>
      <x:c r="E67" s="78" t="str">
        <x:v>Trailing 12 months; market-wide active listings</x:v>
      </x:c>
      <x:c r="F67" s="78" t="str">
        <x:v>Vendor averages mix property size, availability and geography; verify a matched comp set.</x:v>
      </x:c>
      <x:c r="G67" s="92" t="n">
        <x:v>1.538</x:v>
      </x:c>
      <x:c r="H67" s="115" t="n">
        <x:f>IF(OR('100 Markets'!E67="",'100 Markets'!F67=""),"",'100 Markets'!E67*'100 Markets'!F67)</x:f>
        <x:v>69.35</x:v>
      </x:c>
      <x:c r="I67" s="115"/>
      <x:c r="J67" s="78"/>
    </x:row>
    <x:row r="68" ht="78" customHeight="1">
      <x:c r="A68" s="78" t="n">
        <x:v>62</x:v>
      </x:c>
      <x:c r="B68" s="78" t="str">
        <x:v>Oklahoma City</x:v>
      </x:c>
      <x:c r="C68" s="78" t="str">
        <x:v>https://www.airdna.co/vacation-rental-data/app/us/oklahoma/oklahoma-city/overview</x:v>
      </x:c>
      <x:c r="D68" s="78" t="str">
        <x:v>Not disclosed</x:v>
      </x:c>
      <x:c r="E68" s="78" t="str">
        <x:v>Trailing 12 months; market-wide active listings</x:v>
      </x:c>
      <x:c r="F68" s="78" t="str">
        <x:v>Vendor averages mix property size, availability and geography; verify a matched comp set.</x:v>
      </x:c>
      <x:c r="G68" s="92"/>
      <x:c r="H68" s="115" t="n">
        <x:f>IF(OR('100 Markets'!E68="",'100 Markets'!F68=""),"",'100 Markets'!E68*'100 Markets'!F68)</x:f>
        <x:v>79.971</x:v>
      </x:c>
      <x:c r="I68" s="115"/>
      <x:c r="J68" s="78"/>
    </x:row>
    <x:row r="69" ht="78" customHeight="1">
      <x:c r="A69" s="78" t="n">
        <x:v>63</x:v>
      </x:c>
      <x:c r="B69" s="78" t="str">
        <x:v>Tulsa</x:v>
      </x:c>
      <x:c r="C69" s="78" t="str">
        <x:v>https://www.airdna.co/vacation-rental-data/app/us/oklahoma/tulsa/overview</x:v>
      </x:c>
      <x:c r="D69" s="78" t="str">
        <x:v>2026-08-05</x:v>
      </x:c>
      <x:c r="E69" s="78" t="str">
        <x:v>Trailing 12 months; market-wide active listings</x:v>
      </x:c>
      <x:c r="F69" s="78" t="str">
        <x:v>Vendor averages mix property size, availability and geography; verify a matched comp set.</x:v>
      </x:c>
      <x:c r="G69" s="92" t="n">
        <x:v>0.05</x:v>
      </x:c>
      <x:c r="H69" s="115" t="n">
        <x:f>IF(OR('100 Markets'!E69="",'100 Markets'!F69=""),"",'100 Markets'!E69*'100 Markets'!F69)</x:f>
        <x:v>93.38</x:v>
      </x:c>
      <x:c r="I69" s="115"/>
      <x:c r="J69" s="78"/>
    </x:row>
    <x:row r="70" ht="78" customHeight="1">
      <x:c r="A70" s="78" t="n">
        <x:v>64</x:v>
      </x:c>
      <x:c r="B70" s="78" t="str">
        <x:v>Bentonville</x:v>
      </x:c>
      <x:c r="C70" s="78" t="str">
        <x:v>https://www.airdna.co/vacation-rental-data/app/us/arkansas/bentonville/overview</x:v>
      </x:c>
      <x:c r="D70" s="78" t="str">
        <x:v>Not disclosed</x:v>
      </x:c>
      <x:c r="E70" s="78" t="str">
        <x:v>Trailing 12 months; market-wide active listings</x:v>
      </x:c>
      <x:c r="F70" s="78" t="str">
        <x:v>Vendor averages mix property size, availability and geography; verify a matched comp set.</x:v>
      </x:c>
      <x:c r="G70" s="92"/>
      <x:c r="H70" s="115" t="n">
        <x:f>IF(OR('100 Markets'!E70="",'100 Markets'!F70=""),"",'100 Markets'!E70*'100 Markets'!F70)</x:f>
        <x:v>112.25500000000001</x:v>
      </x:c>
      <x:c r="I70" s="115"/>
      <x:c r="J70" s="78"/>
    </x:row>
    <x:row r="71" ht="78" customHeight="1">
      <x:c r="A71" s="78" t="n">
        <x:v>65</x:v>
      </x:c>
      <x:c r="B71" s="78" t="str">
        <x:v>Fayetteville</x:v>
      </x:c>
      <x:c r="C71" s="78" t="str">
        <x:v>https://www.airdna.co/vacation-rental-data/app/us/arkansas/fayetteville/overview</x:v>
      </x:c>
      <x:c r="D71" s="78" t="str">
        <x:v>2026-08-25</x:v>
      </x:c>
      <x:c r="E71" s="78" t="str">
        <x:v>Trailing 12 months; market-wide active listings</x:v>
      </x:c>
      <x:c r="F71" s="78" t="str">
        <x:v>Vendor averages mix property size, availability and geography; verify a matched comp set.</x:v>
      </x:c>
      <x:c r="G71" s="92" t="n">
        <x:v>-0.208</x:v>
      </x:c>
      <x:c r="H71" s="115" t="n">
        <x:f>IF(OR('100 Markets'!E71="",'100 Markets'!F71=""),"",'100 Markets'!E71*'100 Markets'!F71)</x:f>
        <x:v>102</x:v>
      </x:c>
      <x:c r="I71" s="115"/>
      <x:c r="J71" s="78"/>
    </x:row>
    <x:row r="72" ht="78" customHeight="1">
      <x:c r="A72" s="78" t="n">
        <x:v>66</x:v>
      </x:c>
      <x:c r="B72" s="78" t="str">
        <x:v>Huntsville</x:v>
      </x:c>
      <x:c r="C72" s="78" t="str">
        <x:v>https://www.airdna.co/vacation-rental-data/app/us/alabama/huntsville/overview</x:v>
      </x:c>
      <x:c r="D72" s="78" t="str">
        <x:v>2026-08-05</x:v>
      </x:c>
      <x:c r="E72" s="78" t="str">
        <x:v>Trailing 12 months; market-wide active listings</x:v>
      </x:c>
      <x:c r="F72" s="78" t="str">
        <x:v>Vendor averages mix property size, availability and geography; verify a matched comp set.</x:v>
      </x:c>
      <x:c r="G72" s="92" t="n">
        <x:v>-0.092</x:v>
      </x:c>
      <x:c r="H72" s="115" t="n">
        <x:f>IF(OR('100 Markets'!E72="",'100 Markets'!F72=""),"",'100 Markets'!E72*'100 Markets'!F72)</x:f>
        <x:v>64.5</x:v>
      </x:c>
      <x:c r="I72" s="115"/>
      <x:c r="J72" s="78"/>
    </x:row>
    <x:row r="73" ht="78" customHeight="1">
      <x:c r="A73" s="78" t="n">
        <x:v>67</x:v>
      </x:c>
      <x:c r="B73" s="78" t="str">
        <x:v>Birmingham</x:v>
      </x:c>
      <x:c r="C73" s="78" t="str">
        <x:v>https://www.airdna.co/vacation-rental-data/app/us/alabama/birmingham/overview</x:v>
      </x:c>
      <x:c r="D73" s="78" t="str">
        <x:v>2026-08-05</x:v>
      </x:c>
      <x:c r="E73" s="78" t="str">
        <x:v>Trailing 12 months; market-wide active listings</x:v>
      </x:c>
      <x:c r="F73" s="78" t="str">
        <x:v>Vendor averages mix property size, availability and geography; verify a matched comp set.</x:v>
      </x:c>
      <x:c r="G73" s="92" t="n">
        <x:v>-0.108</x:v>
      </x:c>
      <x:c r="H73" s="115" t="n">
        <x:f>IF(OR('100 Markets'!E73="",'100 Markets'!F73=""),"",'100 Markets'!E73*'100 Markets'!F73)</x:f>
        <x:v>86.84</x:v>
      </x:c>
      <x:c r="I73" s="115"/>
      <x:c r="J73" s="78"/>
    </x:row>
    <x:row r="74" ht="78" customHeight="1">
      <x:c r="A74" s="78" t="n">
        <x:v>68</x:v>
      </x:c>
      <x:c r="B74" s="78" t="str">
        <x:v>Montgomery</x:v>
      </x:c>
      <x:c r="C74" s="78" t="str">
        <x:v>https://www.airdna.co/vacation-rental-data/app/us/alabama/montgomery/overview</x:v>
      </x:c>
      <x:c r="D74" s="78" t="str">
        <x:v>2026-08-05</x:v>
      </x:c>
      <x:c r="E74" s="78" t="str">
        <x:v>Trailing 12 months; market-wide active listings</x:v>
      </x:c>
      <x:c r="F74" s="78" t="str">
        <x:v>Vendor averages mix property size, availability and geography; verify a matched comp set.</x:v>
      </x:c>
      <x:c r="G74" s="92" t="n">
        <x:v>-0.04</x:v>
      </x:c>
      <x:c r="H74" s="115" t="n">
        <x:f>IF(OR('100 Markets'!E74="",'100 Markets'!F74=""),"",'100 Markets'!E74*'100 Markets'!F74)</x:f>
        <x:v>86.62</x:v>
      </x:c>
      <x:c r="I74" s="115"/>
      <x:c r="J74" s="78"/>
    </x:row>
    <x:row r="75" ht="78" customHeight="1">
      <x:c r="A75" s="78" t="n">
        <x:v>69</x:v>
      </x:c>
      <x:c r="B75" s="78" t="str">
        <x:v>Louisville</x:v>
      </x:c>
      <x:c r="C75" s="78" t="str">
        <x:v>https://www.airdna.co/vacation-rental-data/app/us/kentucky/louisville/overview</x:v>
      </x:c>
      <x:c r="D75" s="78" t="str">
        <x:v>2026-08-25</x:v>
      </x:c>
      <x:c r="E75" s="78" t="str">
        <x:v>Trailing 12 months; market-wide active listings</x:v>
      </x:c>
      <x:c r="F75" s="78" t="str">
        <x:v>Vendor averages mix property size, availability and geography; verify a matched comp set.</x:v>
      </x:c>
      <x:c r="G75" s="92" t="n">
        <x:v>-0.189</x:v>
      </x:c>
      <x:c r="H75" s="115" t="n">
        <x:f>IF(OR('100 Markets'!E75="",'100 Markets'!F75=""),"",'100 Markets'!E75*'100 Markets'!F75)</x:f>
        <x:v>121.52000000000001</x:v>
      </x:c>
      <x:c r="I75" s="115"/>
      <x:c r="J75" s="78"/>
    </x:row>
    <x:row r="76" ht="78" customHeight="1">
      <x:c r="A76" s="78" t="n">
        <x:v>70</x:v>
      </x:c>
      <x:c r="B76" s="78" t="str">
        <x:v>Lexington</x:v>
      </x:c>
      <x:c r="C76" s="78" t="str">
        <x:v>https://www.airdna.co/vacation-rental-data/app/us/kentucky/lexington/overview</x:v>
      </x:c>
      <x:c r="D76" s="78" t="str">
        <x:v>2026-08-25</x:v>
      </x:c>
      <x:c r="E76" s="78" t="str">
        <x:v>Trailing 12 months; market-wide active listings</x:v>
      </x:c>
      <x:c r="F76" s="78" t="str">
        <x:v>Vendor averages mix property size, availability and geography; verify a matched comp set.</x:v>
      </x:c>
      <x:c r="G76" s="92" t="n">
        <x:v>-0.118</x:v>
      </x:c>
      <x:c r="H76" s="115" t="n">
        <x:f>IF(OR('100 Markets'!E76="",'100 Markets'!F76=""),"",'100 Markets'!E76*'100 Markets'!F76)</x:f>
        <x:v>111.71999999999998</x:v>
      </x:c>
      <x:c r="I76" s="115"/>
      <x:c r="J76" s="78"/>
    </x:row>
    <x:row r="77" ht="78" customHeight="1">
      <x:c r="A77" s="78" t="n">
        <x:v>71</x:v>
      </x:c>
      <x:c r="B77" s="78" t="str">
        <x:v>Indianapolis</x:v>
      </x:c>
      <x:c r="C77" s="78" t="str">
        <x:v>https://www.airdna.co/vacation-rental-data/app/us/indiana/indianapolis/overview</x:v>
      </x:c>
      <x:c r="D77" s="78" t="str">
        <x:v>2026-08-05</x:v>
      </x:c>
      <x:c r="E77" s="78" t="str">
        <x:v>Trailing 12 months; market-wide active listings</x:v>
      </x:c>
      <x:c r="F77" s="78" t="str">
        <x:v>Vendor averages mix property size, availability and geography; verify a matched comp set.</x:v>
      </x:c>
      <x:c r="G77" s="92" t="n">
        <x:v>-0.146</x:v>
      </x:c>
      <x:c r="H77" s="115" t="n">
        <x:f>IF(OR('100 Markets'!E77="",'100 Markets'!F77=""),"",'100 Markets'!E77*'100 Markets'!F77)</x:f>
        <x:v>106.60000000000001</x:v>
      </x:c>
      <x:c r="I77" s="115"/>
      <x:c r="J77" s="78"/>
    </x:row>
    <x:row r="78" ht="78" customHeight="1">
      <x:c r="A78" s="78" t="n">
        <x:v>72</x:v>
      </x:c>
      <x:c r="B78" s="78" t="str">
        <x:v>Columbus</x:v>
      </x:c>
      <x:c r="C78" s="78" t="str">
        <x:v>https://www.airdna.co/vacation-rental-data/app/us/ohio/columbus/overview</x:v>
      </x:c>
      <x:c r="D78" s="78" t="str">
        <x:v>2026-08-05</x:v>
      </x:c>
      <x:c r="E78" s="78" t="str">
        <x:v>Trailing 12 months; market-wide active listings</x:v>
      </x:c>
      <x:c r="F78" s="78" t="str">
        <x:v>Vendor averages mix property size, availability and geography; verify a matched comp set.</x:v>
      </x:c>
      <x:c r="G78" s="92" t="n">
        <x:v>-0.016</x:v>
      </x:c>
      <x:c r="H78" s="115" t="n">
        <x:f>IF(OR('100 Markets'!E78="",'100 Markets'!F78=""),"",'100 Markets'!E78*'100 Markets'!F78)</x:f>
        <x:v>107.26</x:v>
      </x:c>
      <x:c r="I78" s="115"/>
      <x:c r="J78" s="78"/>
    </x:row>
    <x:row r="79" ht="78" customHeight="1">
      <x:c r="A79" s="78" t="n">
        <x:v>73</x:v>
      </x:c>
      <x:c r="B79" s="78" t="str">
        <x:v>Cleveland</x:v>
      </x:c>
      <x:c r="C79" s="78" t="str">
        <x:v>https://www.airdna.co/vacation-rental-data/app/us/ohio/cleveland/overview</x:v>
      </x:c>
      <x:c r="D79" s="78" t="str">
        <x:v>2026-09-01</x:v>
      </x:c>
      <x:c r="E79" s="78" t="str">
        <x:v>Trailing 12 months; market-wide active listings</x:v>
      </x:c>
      <x:c r="F79" s="78" t="str">
        <x:v>Vendor averages mix property size, availability and geography; verify a matched comp set.</x:v>
      </x:c>
      <x:c r="G79" s="92" t="n">
        <x:v>-0.103</x:v>
      </x:c>
      <x:c r="H79" s="115" t="n">
        <x:f>IF(OR('100 Markets'!E79="",'100 Markets'!F79=""),"",'100 Markets'!E79*'100 Markets'!F79)</x:f>
        <x:v>87.6</x:v>
      </x:c>
      <x:c r="I79" s="115"/>
      <x:c r="J79" s="78"/>
    </x:row>
    <x:row r="80" ht="78" customHeight="1">
      <x:c r="A80" s="78" t="n">
        <x:v>74</x:v>
      </x:c>
      <x:c r="B80" s="78" t="str">
        <x:v>Akron</x:v>
      </x:c>
      <x:c r="C80" s="78" t="str">
        <x:v>https://www.airdna.co/vacation-rental-data/app/us/ohio/akron/overview</x:v>
      </x:c>
      <x:c r="D80" s="78" t="str">
        <x:v>Not disclosed</x:v>
      </x:c>
      <x:c r="E80" s="78" t="str">
        <x:v>Trailing 12 months; market-wide active listings</x:v>
      </x:c>
      <x:c r="F80" s="78" t="str">
        <x:v>Vendor averages mix property size, availability and geography; verify a matched comp set.</x:v>
      </x:c>
      <x:c r="G80" s="92"/>
      <x:c r="H80" s="115" t="n">
        <x:f>IF(OR('100 Markets'!E80="",'100 Markets'!F80=""),"",'100 Markets'!E80*'100 Markets'!F80)</x:f>
        <x:v>81.13</x:v>
      </x:c>
      <x:c r="I80" s="115"/>
      <x:c r="J80" s="78"/>
    </x:row>
    <x:row r="81" ht="78" customHeight="1">
      <x:c r="A81" s="78" t="n">
        <x:v>75</x:v>
      </x:c>
      <x:c r="B81" s="78" t="str">
        <x:v>Pittsburgh</x:v>
      </x:c>
      <x:c r="C81" s="78" t="str">
        <x:v>https://www.airdna.co/vacation-rental-data/app/us/pennsylvania/pittsburgh/overview</x:v>
      </x:c>
      <x:c r="D81" s="78" t="str">
        <x:v>2026-07-05</x:v>
      </x:c>
      <x:c r="E81" s="78" t="str">
        <x:v>Trailing 12 months; market-wide active listings</x:v>
      </x:c>
      <x:c r="F81" s="78" t="str">
        <x:v>Vendor averages mix property size, availability and geography; verify a matched comp set.</x:v>
      </x:c>
      <x:c r="G81" s="92" t="n">
        <x:v>0.039</x:v>
      </x:c>
      <x:c r="H81" s="115" t="n">
        <x:f>IF(OR('100 Markets'!E81="",'100 Markets'!F81=""),"",'100 Markets'!E81*'100 Markets'!F81)</x:f>
        <x:v>113.95</x:v>
      </x:c>
      <x:c r="I81" s="115"/>
      <x:c r="J81" s="78"/>
    </x:row>
    <x:row r="82" ht="78" customHeight="1">
      <x:c r="A82" s="78" t="n">
        <x:v>76</x:v>
      </x:c>
      <x:c r="B82" s="78" t="str">
        <x:v>Chattanooga</x:v>
      </x:c>
      <x:c r="C82" s="78" t="str">
        <x:v>https://www.airdna.co/vacation-rental-data/app/us/tennessee/chattanooga/overview</x:v>
      </x:c>
      <x:c r="D82" s="78" t="str">
        <x:v>2026-07-05</x:v>
      </x:c>
      <x:c r="E82" s="78" t="str">
        <x:v>Trailing 12 months; market-wide active listings</x:v>
      </x:c>
      <x:c r="F82" s="78" t="str">
        <x:v>Vendor averages mix property size, availability and geography; verify a matched comp set.</x:v>
      </x:c>
      <x:c r="G82" s="92" t="n">
        <x:v>-0.067</x:v>
      </x:c>
      <x:c r="H82" s="115" t="n">
        <x:f>IF(OR('100 Markets'!E82="",'100 Markets'!F82=""),"",'100 Markets'!E82*'100 Markets'!F82)</x:f>
        <x:v>98.60999999999999</x:v>
      </x:c>
      <x:c r="I82" s="115"/>
      <x:c r="J82" s="78"/>
    </x:row>
    <x:row r="83" ht="78" customHeight="1">
      <x:c r="A83" s="78" t="n">
        <x:v>77</x:v>
      </x:c>
      <x:c r="B83" s="78" t="str">
        <x:v>Knoxville</x:v>
      </x:c>
      <x:c r="C83" s="78" t="str">
        <x:v>https://www.airdna.co/vacation-rental-data/app/us/tennessee/knoxville/overview</x:v>
      </x:c>
      <x:c r="D83" s="78" t="str">
        <x:v>2026-08-05</x:v>
      </x:c>
      <x:c r="E83" s="78" t="str">
        <x:v>Trailing 12 months; market-wide active listings</x:v>
      </x:c>
      <x:c r="F83" s="78" t="str">
        <x:v>Vendor averages mix property size, availability and geography; verify a matched comp set.</x:v>
      </x:c>
      <x:c r="G83" s="92" t="n">
        <x:v>0.108</x:v>
      </x:c>
      <x:c r="H83" s="115" t="n">
        <x:f>IF(OR('100 Markets'!E83="",'100 Markets'!F83=""),"",'100 Markets'!E83*'100 Markets'!F83)</x:f>
        <x:v>112.85999999999999</x:v>
      </x:c>
      <x:c r="I83" s="115"/>
      <x:c r="J83" s="78"/>
    </x:row>
    <x:row r="84" ht="78" customHeight="1">
      <x:c r="A84" s="78" t="n">
        <x:v>78</x:v>
      </x:c>
      <x:c r="B84" s="78" t="str">
        <x:v>Nashville</x:v>
      </x:c>
      <x:c r="C84" s="78" t="str">
        <x:v>https://www.airdna.co/vacation-rental-data/app/us/tennessee/nashville/overview</x:v>
      </x:c>
      <x:c r="D84" s="78" t="str">
        <x:v>2026-09-01</x:v>
      </x:c>
      <x:c r="E84" s="78" t="str">
        <x:v>Trailing 12 months; market-wide active listings</x:v>
      </x:c>
      <x:c r="F84" s="78" t="str">
        <x:v>Vendor averages mix property size, availability and geography; verify a matched comp set.</x:v>
      </x:c>
      <x:c r="G84" s="92" t="n">
        <x:v>-0.208</x:v>
      </x:c>
      <x:c r="H84" s="115" t="n">
        <x:f>IF(OR('100 Markets'!E84="",'100 Markets'!F84=""),"",'100 Markets'!E84*'100 Markets'!F84)</x:f>
        <x:v>171.67999999999998</x:v>
      </x:c>
      <x:c r="I84" s="115"/>
      <x:c r="J84" s="78"/>
    </x:row>
    <x:row r="85" ht="78" customHeight="1">
      <x:c r="A85" s="78" t="n">
        <x:v>79</x:v>
      </x:c>
      <x:c r="B85" s="78" t="str">
        <x:v>Savannah</x:v>
      </x:c>
      <x:c r="C85" s="78" t="str">
        <x:v>https://www.airdna.co/vacation-rental-data/app/us/georgia/savannah/overview</x:v>
      </x:c>
      <x:c r="D85" s="78" t="str">
        <x:v>2026-08-05</x:v>
      </x:c>
      <x:c r="E85" s="78" t="str">
        <x:v>Trailing 12 months; market-wide active listings</x:v>
      </x:c>
      <x:c r="F85" s="78" t="str">
        <x:v>Vendor averages mix property size, availability and geography; verify a matched comp set.</x:v>
      </x:c>
      <x:c r="G85" s="92" t="n">
        <x:v>-0.03</x:v>
      </x:c>
      <x:c r="H85" s="115" t="n">
        <x:f>IF(OR('100 Markets'!E85="",'100 Markets'!F85=""),"",'100 Markets'!E85*'100 Markets'!F85)</x:f>
        <x:v>169.85999999999999</x:v>
      </x:c>
      <x:c r="I85" s="115"/>
      <x:c r="J85" s="78"/>
    </x:row>
    <x:row r="86" ht="78" customHeight="1">
      <x:c r="A86" s="78" t="n">
        <x:v>80</x:v>
      </x:c>
      <x:c r="B86" s="78" t="str">
        <x:v>Athens</x:v>
      </x:c>
      <x:c r="C86" s="78" t="str">
        <x:v>https://www.airdna.co/vacation-rental-data/app/us/georgia/athens/overview</x:v>
      </x:c>
      <x:c r="D86" s="78" t="str">
        <x:v>2026-07-05</x:v>
      </x:c>
      <x:c r="E86" s="78" t="str">
        <x:v>Trailing 12 months; market-wide active listings</x:v>
      </x:c>
      <x:c r="F86" s="78" t="str">
        <x:v>Vendor averages mix property size, availability and geography; verify a matched comp set.</x:v>
      </x:c>
      <x:c r="G86" s="92" t="n">
        <x:v>-0.007</x:v>
      </x:c>
      <x:c r="H86" s="115" t="n">
        <x:f>IF(OR('100 Markets'!E86="",'100 Markets'!F86=""),"",'100 Markets'!E86*'100 Markets'!F86)</x:f>
        <x:v>168.42</x:v>
      </x:c>
      <x:c r="I86" s="115"/>
      <x:c r="J86" s="78"/>
    </x:row>
    <x:row r="87" ht="78" customHeight="1">
      <x:c r="A87" s="78" t="n">
        <x:v>81</x:v>
      </x:c>
      <x:c r="B87" s="78" t="str">
        <x:v>Flagstaff</x:v>
      </x:c>
      <x:c r="C87" s="78" t="str">
        <x:v>https://www.airdna.co/vacation-rental-data/app/us/arizona/flagstaff/overview</x:v>
      </x:c>
      <x:c r="D87" s="78" t="str">
        <x:v>2026-08-05</x:v>
      </x:c>
      <x:c r="E87" s="78" t="str">
        <x:v>Trailing 12 months; market-wide active listings</x:v>
      </x:c>
      <x:c r="F87" s="78" t="str">
        <x:v>Vendor averages mix property size, availability and geography; verify a matched comp set.</x:v>
      </x:c>
      <x:c r="G87" s="92" t="n">
        <x:v>-0.14</x:v>
      </x:c>
      <x:c r="H87" s="115" t="n">
        <x:f>IF(OR('100 Markets'!E87="",'100 Markets'!F87=""),"",'100 Markets'!E87*'100 Markets'!F87)</x:f>
        <x:v>144.72</x:v>
      </x:c>
      <x:c r="I87" s="115"/>
      <x:c r="J87" s="78"/>
    </x:row>
    <x:row r="88" ht="78" customHeight="1">
      <x:c r="A88" s="78" t="n">
        <x:v>82</x:v>
      </x:c>
      <x:c r="B88" s="78" t="str">
        <x:v>Sedona</x:v>
      </x:c>
      <x:c r="C88" s="78" t="str">
        <x:v>https://www.airdna.co/vacation-rental-data/app/us/arizona/sedona/overview</x:v>
      </x:c>
      <x:c r="D88" s="78" t="str">
        <x:v>2026-08-05</x:v>
      </x:c>
      <x:c r="E88" s="78" t="str">
        <x:v>Trailing 12 months; market-wide active listings</x:v>
      </x:c>
      <x:c r="F88" s="78" t="str">
        <x:v>Vendor averages mix property size, availability and geography; verify a matched comp set.</x:v>
      </x:c>
      <x:c r="G88" s="92" t="n">
        <x:v>-0.062</x:v>
      </x:c>
      <x:c r="H88" s="115" t="n">
        <x:f>IF(OR('100 Markets'!E88="",'100 Markets'!F88=""),"",'100 Markets'!E88*'100 Markets'!F88)</x:f>
        <x:v>196.63000000000002</x:v>
      </x:c>
      <x:c r="I88" s="115"/>
      <x:c r="J88" s="78"/>
    </x:row>
    <x:row r="89" ht="78" customHeight="1">
      <x:c r="A89" s="78" t="n">
        <x:v>83</x:v>
      </x:c>
      <x:c r="B89" s="78" t="str">
        <x:v>Scottsdale</x:v>
      </x:c>
      <x:c r="C89" s="78" t="str">
        <x:v>https://rabbu.com/airbnb-data/scottsdale-az</x:v>
      </x:c>
      <x:c r="D89" s="78" t="str">
        <x:v>2026-04-27</x:v>
      </x:c>
      <x:c r="E89" s="78" t="str">
        <x:v>Historical 12-month average (Rabbu)</x:v>
      </x:c>
      <x:c r="F89" s="78" t="str">
        <x:v>AirDNA public snapshot had &gt;90% listing-count discontinuity; used older Rabbu snapshot. Provider/geography and occupancy periods differ.</x:v>
      </x:c>
      <x:c r="G89" s="92"/>
      <x:c r="H89" s="115" t="n">
        <x:f>IF(OR('100 Markets'!E89="",'100 Markets'!F89=""),"",'100 Markets'!E89*'100 Markets'!F89)</x:f>
        <x:v>251.36999999999998</x:v>
      </x:c>
      <x:c r="I89" s="115"/>
      <x:c r="J89" s="78" t="str">
        <x:v>https://www.airdna.co/vacation-rental-data/app/us/arizona/scottsdale/overview</x:v>
      </x:c>
    </x:row>
    <x:row r="90" ht="78" customHeight="1">
      <x:c r="A90" s="78" t="n">
        <x:v>84</x:v>
      </x:c>
      <x:c r="B90" s="78" t="str">
        <x:v>Tucson</x:v>
      </x:c>
      <x:c r="C90" s="78" t="str">
        <x:v>https://www.airdna.co/vacation-rental-data/app/us/arizona/tucson/overview</x:v>
      </x:c>
      <x:c r="D90" s="78" t="str">
        <x:v>2026-09-01</x:v>
      </x:c>
      <x:c r="E90" s="78" t="str">
        <x:v>Trailing 12 months; market-wide active listings</x:v>
      </x:c>
      <x:c r="F90" s="78" t="str">
        <x:v>Vendor averages mix property size, availability and geography; verify a matched comp set.</x:v>
      </x:c>
      <x:c r="G90" s="92" t="n">
        <x:v>-0.538</x:v>
      </x:c>
      <x:c r="H90" s="115" t="n">
        <x:f>IF(OR('100 Markets'!E90="",'100 Markets'!F90=""),"",'100 Markets'!E90*'100 Markets'!F90)</x:f>
        <x:v>97.8</x:v>
      </x:c>
      <x:c r="I90" s="115"/>
      <x:c r="J90" s="78"/>
    </x:row>
    <x:row r="91" ht="78" customHeight="1">
      <x:c r="A91" s="78" t="n">
        <x:v>85</x:v>
      </x:c>
      <x:c r="B91" s="78" t="str">
        <x:v>Joshua Tree</x:v>
      </x:c>
      <x:c r="C91" s="78" t="str">
        <x:v>https://www.airdna.co/vacation-rental-data/app/us/california/joshua-tree/overview</x:v>
      </x:c>
      <x:c r="D91" s="78" t="str">
        <x:v>2026-07-05</x:v>
      </x:c>
      <x:c r="E91" s="78" t="str">
        <x:v>Trailing 12 months; market-wide active listings</x:v>
      </x:c>
      <x:c r="F91" s="78" t="str">
        <x:v>Vendor averages mix property size, availability and geography; verify a matched comp set.</x:v>
      </x:c>
      <x:c r="G91" s="92" t="n">
        <x:v>-0.107</x:v>
      </x:c>
      <x:c r="H91" s="115" t="n">
        <x:f>IF(OR('100 Markets'!E91="",'100 Markets'!F91=""),"",'100 Markets'!E91*'100 Markets'!F91)</x:f>
        <x:v>159.53</x:v>
      </x:c>
      <x:c r="I91" s="115"/>
      <x:c r="J91" s="78"/>
    </x:row>
    <x:row r="92" ht="78" customHeight="1">
      <x:c r="A92" s="78" t="n">
        <x:v>86</x:v>
      </x:c>
      <x:c r="B92" s="78" t="str">
        <x:v>Big Bear Lake</x:v>
      </x:c>
      <x:c r="C92" s="78" t="str">
        <x:v>https://www.airdna.co/vacation-rental-data/app/us/california/big-bear-lake/overview</x:v>
      </x:c>
      <x:c r="D92" s="78" t="str">
        <x:v>2026-08-05</x:v>
      </x:c>
      <x:c r="E92" s="78" t="str">
        <x:v>Trailing 12 months; market-wide active listings</x:v>
      </x:c>
      <x:c r="F92" s="78" t="str">
        <x:v>Vendor averages mix property size, availability and geography; verify a matched comp set.</x:v>
      </x:c>
      <x:c r="G92" s="92" t="n">
        <x:v>-0.112</x:v>
      </x:c>
      <x:c r="H92" s="115" t="n">
        <x:f>IF(OR('100 Markets'!E92="",'100 Markets'!F92=""),"",'100 Markets'!E92*'100 Markets'!F92)</x:f>
        <x:v>147.56</x:v>
      </x:c>
      <x:c r="I92" s="115"/>
      <x:c r="J92" s="78"/>
    </x:row>
    <x:row r="93" ht="78" customHeight="1">
      <x:c r="A93" s="78" t="n">
        <x:v>87</x:v>
      </x:c>
      <x:c r="B93" s="78" t="str">
        <x:v>Palm Springs</x:v>
      </x:c>
      <x:c r="C93" s="78" t="str">
        <x:v>https://www.airdna.co/vacation-rental-data/app/us/california/palm-springs/overview</x:v>
      </x:c>
      <x:c r="D93" s="78" t="str">
        <x:v>2026-08-05</x:v>
      </x:c>
      <x:c r="E93" s="78" t="str">
        <x:v>Trailing 12 months; market-wide active listings</x:v>
      </x:c>
      <x:c r="F93" s="78" t="str">
        <x:v>Vendor averages mix property size, availability and geography; verify a matched comp set.</x:v>
      </x:c>
      <x:c r="G93" s="92" t="n">
        <x:v>-0.086</x:v>
      </x:c>
      <x:c r="H93" s="115" t="n">
        <x:f>IF(OR('100 Markets'!E93="",'100 Markets'!F93=""),"",'100 Markets'!E93*'100 Markets'!F93)</x:f>
        <x:v>239</x:v>
      </x:c>
      <x:c r="I93" s="115"/>
      <x:c r="J93" s="78"/>
    </x:row>
    <x:row r="94" ht="78" customHeight="1">
      <x:c r="A94" s="78" t="n">
        <x:v>88</x:v>
      </x:c>
      <x:c r="B94" s="78" t="str">
        <x:v>Mammoth Lakes</x:v>
      </x:c>
      <x:c r="C94" s="78" t="str">
        <x:v>https://www.airdna.co/vacation-rental-data/app/us/california/mammoth-lakes/overview</x:v>
      </x:c>
      <x:c r="D94" s="78" t="str">
        <x:v>2026-07-05</x:v>
      </x:c>
      <x:c r="E94" s="78" t="str">
        <x:v>Trailing 12 months; market-wide active listings</x:v>
      </x:c>
      <x:c r="F94" s="78" t="str">
        <x:v>Vendor averages mix property size, availability and geography; verify a matched comp set.</x:v>
      </x:c>
      <x:c r="G94" s="92" t="n">
        <x:v>-0.013</x:v>
      </x:c>
      <x:c r="H94" s="115" t="n">
        <x:f>IF(OR('100 Markets'!E94="",'100 Markets'!F94=""),"",'100 Markets'!E94*'100 Markets'!F94)</x:f>
        <x:v>209.70000000000002</x:v>
      </x:c>
      <x:c r="I94" s="115"/>
      <x:c r="J94" s="78"/>
    </x:row>
    <x:row r="95" ht="78" customHeight="1">
      <x:c r="A95" s="78" t="n">
        <x:v>89</x:v>
      </x:c>
      <x:c r="B95" s="78" t="str">
        <x:v>Breckenridge</x:v>
      </x:c>
      <x:c r="C95" s="78" t="str">
        <x:v>https://www.airdna.co/vacation-rental-data/app/us/colorado/breckenridge/overview</x:v>
      </x:c>
      <x:c r="D95" s="78" t="str">
        <x:v>2026-09-01</x:v>
      </x:c>
      <x:c r="E95" s="78" t="str">
        <x:v>Trailing 12 months; market-wide active listings</x:v>
      </x:c>
      <x:c r="F95" s="78" t="str">
        <x:v>Vendor averages mix property size, availability and geography; verify a matched comp set.</x:v>
      </x:c>
      <x:c r="G95" s="92" t="n">
        <x:v>-0.43</x:v>
      </x:c>
      <x:c r="H95" s="115" t="n">
        <x:f>IF(OR('100 Markets'!E95="",'100 Markets'!F95=""),"",'100 Markets'!E95*'100 Markets'!F95)</x:f>
        <x:v>296.31</x:v>
      </x:c>
      <x:c r="I95" s="115"/>
      <x:c r="J95" s="78"/>
    </x:row>
    <x:row r="96" ht="78" customHeight="1">
      <x:c r="A96" s="78" t="n">
        <x:v>90</x:v>
      </x:c>
      <x:c r="B96" s="78" t="str">
        <x:v>Estes Park</x:v>
      </x:c>
      <x:c r="C96" s="78" t="str">
        <x:v>https://www.airdna.co/vacation-rental-data/app/us/colorado/estes-park/overview</x:v>
      </x:c>
      <x:c r="D96" s="78" t="str">
        <x:v>2026-08-05</x:v>
      </x:c>
      <x:c r="E96" s="78" t="str">
        <x:v>Trailing 12 months; market-wide active listings</x:v>
      </x:c>
      <x:c r="F96" s="78" t="str">
        <x:v>Vendor averages mix property size, availability and geography; verify a matched comp set.</x:v>
      </x:c>
      <x:c r="G96" s="92" t="n">
        <x:v>-0.124</x:v>
      </x:c>
      <x:c r="H96" s="115" t="n">
        <x:f>IF(OR('100 Markets'!E96="",'100 Markets'!F96=""),"",'100 Markets'!E96*'100 Markets'!F96)</x:f>
        <x:v>254.21999999999997</x:v>
      </x:c>
      <x:c r="I96" s="115"/>
      <x:c r="J96" s="78"/>
    </x:row>
    <x:row r="97" ht="78" customHeight="1">
      <x:c r="A97" s="78" t="n">
        <x:v>91</x:v>
      </x:c>
      <x:c r="B97" s="78" t="str">
        <x:v>Pagosa Springs</x:v>
      </x:c>
      <x:c r="C97" s="78" t="str">
        <x:v>https://www.airdna.co/vacation-rental-data/app/us/colorado/pagosa-springs/overview</x:v>
      </x:c>
      <x:c r="D97" s="78" t="str">
        <x:v>2026-08-05</x:v>
      </x:c>
      <x:c r="E97" s="78" t="str">
        <x:v>Trailing 12 months; market-wide active listings</x:v>
      </x:c>
      <x:c r="F97" s="78" t="str">
        <x:v>Vendor averages mix property size, availability and geography; verify a matched comp set.</x:v>
      </x:c>
      <x:c r="G97" s="92" t="n">
        <x:v>-0.158</x:v>
      </x:c>
      <x:c r="H97" s="115" t="n">
        <x:f>IF(OR('100 Markets'!E97="",'100 Markets'!F97=""),"",'100 Markets'!E97*'100 Markets'!F97)</x:f>
        <x:v>122.88</x:v>
      </x:c>
      <x:c r="I97" s="115"/>
      <x:c r="J97" s="78"/>
    </x:row>
    <x:row r="98" ht="78" customHeight="1">
      <x:c r="A98" s="78" t="n">
        <x:v>92</x:v>
      </x:c>
      <x:c r="B98" s="78" t="str">
        <x:v>Durango</x:v>
      </x:c>
      <x:c r="C98" s="78" t="str">
        <x:v>https://www.airdna.co/vacation-rental-data/app/us/colorado/durango/overview</x:v>
      </x:c>
      <x:c r="D98" s="78" t="str">
        <x:v>Not disclosed</x:v>
      </x:c>
      <x:c r="E98" s="78" t="str">
        <x:v>Trailing 12 months; market-wide active listings</x:v>
      </x:c>
      <x:c r="F98" s="78" t="str">
        <x:v>Vendor averages mix property size, availability and geography; verify a matched comp set.</x:v>
      </x:c>
      <x:c r="G98" s="92"/>
      <x:c r="H98" s="115" t="n">
        <x:f>IF(OR('100 Markets'!E98="",'100 Markets'!F98=""),"",'100 Markets'!E98*'100 Markets'!F98)</x:f>
        <x:v>176.016</x:v>
      </x:c>
      <x:c r="I98" s="115"/>
      <x:c r="J98" s="78"/>
    </x:row>
    <x:row r="99" ht="78" customHeight="1">
      <x:c r="A99" s="78" t="n">
        <x:v>93</x:v>
      </x:c>
      <x:c r="B99" s="78" t="str">
        <x:v>Park City</x:v>
      </x:c>
      <x:c r="C99" s="78" t="str">
        <x:v>https://www.airdna.co/vacation-rental-data/app/us/utah/park-city/overview</x:v>
      </x:c>
      <x:c r="D99" s="78" t="str">
        <x:v>2026-07-05</x:v>
      </x:c>
      <x:c r="E99" s="78" t="str">
        <x:v>Trailing 12 months; market-wide active listings</x:v>
      </x:c>
      <x:c r="F99" s="78" t="str">
        <x:v>Vendor averages mix property size, availability and geography; verify a matched comp set.</x:v>
      </x:c>
      <x:c r="G99" s="92" t="n">
        <x:v>-0.082</x:v>
      </x:c>
      <x:c r="H99" s="115" t="n">
        <x:f>IF(OR('100 Markets'!E99="",'100 Markets'!F99=""),"",'100 Markets'!E99*'100 Markets'!F99)</x:f>
        <x:v>403.65000000000003</x:v>
      </x:c>
      <x:c r="I99" s="115"/>
      <x:c r="J99" s="78"/>
    </x:row>
    <x:row r="100" ht="78" customHeight="1">
      <x:c r="A100" s="78" t="n">
        <x:v>94</x:v>
      </x:c>
      <x:c r="B100" s="78" t="str">
        <x:v>Hurricane</x:v>
      </x:c>
      <x:c r="C100" s="78" t="str">
        <x:v>https://www.airdna.co/vacation-rental-data/app/us/utah/hurricane/overview</x:v>
      </x:c>
      <x:c r="D100" s="78" t="str">
        <x:v>2026-06-09</x:v>
      </x:c>
      <x:c r="E100" s="78" t="str">
        <x:v>Trailing 12 months; market-wide active listings</x:v>
      </x:c>
      <x:c r="F100" s="78" t="str">
        <x:v>Vendor averages mix property size, availability and geography; verify a matched comp set.</x:v>
      </x:c>
      <x:c r="G100" s="92" t="n">
        <x:v>-0.013</x:v>
      </x:c>
      <x:c r="H100" s="115" t="n">
        <x:f>IF(OR('100 Markets'!E100="",'100 Markets'!F100=""),"",'100 Markets'!E100*'100 Markets'!F100)</x:f>
        <x:v>175</x:v>
      </x:c>
      <x:c r="I100" s="115"/>
      <x:c r="J100" s="78"/>
    </x:row>
    <x:row r="101" ht="78" customHeight="1">
      <x:c r="A101" s="78" t="n">
        <x:v>95</x:v>
      </x:c>
      <x:c r="B101" s="78" t="str">
        <x:v>Moab</x:v>
      </x:c>
      <x:c r="C101" s="78" t="str">
        <x:v>https://www.airdna.co/vacation-rental-data/app/us/utah/moab/overview</x:v>
      </x:c>
      <x:c r="D101" s="78" t="str">
        <x:v>2026-08-25</x:v>
      </x:c>
      <x:c r="E101" s="78" t="str">
        <x:v>Trailing 12 months; market-wide active listings</x:v>
      </x:c>
      <x:c r="F101" s="78" t="str">
        <x:v>Vendor averages mix property size, availability and geography; verify a matched comp set.</x:v>
      </x:c>
      <x:c r="G101" s="92" t="n">
        <x:v>-0.213</x:v>
      </x:c>
      <x:c r="H101" s="115" t="n">
        <x:f>IF(OR('100 Markets'!E101="",'100 Markets'!F101=""),"",'100 Markets'!E101*'100 Markets'!F101)</x:f>
        <x:v>172.14</x:v>
      </x:c>
      <x:c r="I101" s="115"/>
      <x:c r="J101" s="78"/>
    </x:row>
    <x:row r="102" ht="78" customHeight="1">
      <x:c r="A102" s="78" t="n">
        <x:v>96</x:v>
      </x:c>
      <x:c r="B102" s="78" t="str">
        <x:v>Whitefish</x:v>
      </x:c>
      <x:c r="C102" s="78" t="str">
        <x:v>https://www.airdna.co/vacation-rental-data/app/us/montana/whitefish/overview</x:v>
      </x:c>
      <x:c r="D102" s="78" t="str">
        <x:v>2026-08-25</x:v>
      </x:c>
      <x:c r="E102" s="78" t="str">
        <x:v>Trailing 12 months; market-wide active listings</x:v>
      </x:c>
      <x:c r="F102" s="78" t="str">
        <x:v>Vendor averages mix property size, availability and geography; verify a matched comp set.</x:v>
      </x:c>
      <x:c r="G102" s="92" t="n">
        <x:v>-0.552</x:v>
      </x:c>
      <x:c r="H102" s="115" t="n">
        <x:f>IF(OR('100 Markets'!E102="",'100 Markets'!F102=""),"",'100 Markets'!E102*'100 Markets'!F102)</x:f>
        <x:v>184.14</x:v>
      </x:c>
      <x:c r="I102" s="115"/>
      <x:c r="J102" s="78"/>
    </x:row>
    <x:row r="103" ht="78" customHeight="1">
      <x:c r="A103" s="78" t="n">
        <x:v>97</x:v>
      </x:c>
      <x:c r="B103" s="78" t="str">
        <x:v>West Yellowstone</x:v>
      </x:c>
      <x:c r="C103" s="78" t="str">
        <x:v>https://www.airdna.co/vacation-rental-data/app/us/montana/west-yellowstone/overview</x:v>
      </x:c>
      <x:c r="D103" s="78" t="str">
        <x:v>Not disclosed</x:v>
      </x:c>
      <x:c r="E103" s="78" t="str">
        <x:v>Trailing 12 months; market-wide active listings</x:v>
      </x:c>
      <x:c r="F103" s="78" t="str">
        <x:v>Vendor averages mix property size, availability and geography; verify a matched comp set.</x:v>
      </x:c>
      <x:c r="G103" s="92"/>
      <x:c r="H103" s="115" t="n">
        <x:f>IF(OR('100 Markets'!E103="",'100 Markets'!F103=""),"",'100 Markets'!E103*'100 Markets'!F103)</x:f>
        <x:v>325.26</x:v>
      </x:c>
      <x:c r="I103" s="115"/>
      <x:c r="J103" s="78"/>
    </x:row>
    <x:row r="104" ht="78" customHeight="1">
      <x:c r="A104" s="78" t="n">
        <x:v>98</x:v>
      </x:c>
      <x:c r="B104" s="78" t="str">
        <x:v>Bend</x:v>
      </x:c>
      <x:c r="C104" s="78" t="str">
        <x:v>https://www.airdna.co/vacation-rental-data/app/us/oregon/bend/overview</x:v>
      </x:c>
      <x:c r="D104" s="78" t="str">
        <x:v>2026-08-05</x:v>
      </x:c>
      <x:c r="E104" s="78" t="str">
        <x:v>Trailing 12 months; market-wide active listings</x:v>
      </x:c>
      <x:c r="F104" s="78" t="str">
        <x:v>Vendor averages mix property size, availability and geography; verify a matched comp set.</x:v>
      </x:c>
      <x:c r="G104" s="92" t="n">
        <x:v>-0.018</x:v>
      </x:c>
      <x:c r="H104" s="115" t="n">
        <x:f>IF(OR('100 Markets'!E104="",'100 Markets'!F104=""),"",'100 Markets'!E104*'100 Markets'!F104)</x:f>
        <x:v>192.39000000000001</x:v>
      </x:c>
      <x:c r="I104" s="115"/>
      <x:c r="J104" s="78"/>
    </x:row>
    <x:row r="105" ht="78" customHeight="1">
      <x:c r="A105" s="78" t="n">
        <x:v>99</x:v>
      </x:c>
      <x:c r="B105" s="78" t="str">
        <x:v>Lincoln City</x:v>
      </x:c>
      <x:c r="C105" s="78" t="str">
        <x:v>https://www.airdna.co/vacation-rental-data/app/us/oregon/lincoln-city/overview</x:v>
      </x:c>
      <x:c r="D105" s="78" t="str">
        <x:v>2026-08-05</x:v>
      </x:c>
      <x:c r="E105" s="78" t="str">
        <x:v>Trailing 12 months; market-wide active listings</x:v>
      </x:c>
      <x:c r="F105" s="78" t="str">
        <x:v>Vendor averages mix property size, availability and geography; verify a matched comp set.</x:v>
      </x:c>
      <x:c r="G105" s="92" t="n">
        <x:v>0.076</x:v>
      </x:c>
      <x:c r="H105" s="115" t="n">
        <x:f>IF(OR('100 Markets'!E105="",'100 Markets'!F105=""),"",'100 Markets'!E105*'100 Markets'!F105)</x:f>
        <x:v>172.48000000000002</x:v>
      </x:c>
      <x:c r="I105" s="115"/>
      <x:c r="J105" s="78"/>
    </x:row>
    <x:row r="106" ht="78" customHeight="1">
      <x:c r="A106" s="78" t="n">
        <x:v>100</x:v>
      </x:c>
      <x:c r="B106" s="78" t="str">
        <x:v>Bar Harbor</x:v>
      </x:c>
      <x:c r="C106" s="78" t="str">
        <x:v>https://www.airdna.co/vacation-rental-data/app/us/maine/bar-harbor/overview</x:v>
      </x:c>
      <x:c r="D106" s="78" t="str">
        <x:v>2026-07-05</x:v>
      </x:c>
      <x:c r="E106" s="78" t="str">
        <x:v>Trailing 12 months; market-wide active listings</x:v>
      </x:c>
      <x:c r="F106" s="78" t="str">
        <x:v>Vendor averages mix property size, availability and geography; verify a matched comp set.</x:v>
      </x:c>
      <x:c r="G106" s="92" t="n">
        <x:v>-0.033</x:v>
      </x:c>
      <x:c r="H106" s="115" t="n">
        <x:f>IF(OR('100 Markets'!E106="",'100 Markets'!F106=""),"",'100 Markets'!E106*'100 Markets'!F106)</x:f>
        <x:v>335.25</x:v>
      </x:c>
      <x:c r="I106" s="115"/>
      <x:c r="J106" s="78"/>
    </x:row>
  </x:sheetData>
  <x:mergeCells>
    <x:mergeCell ref="A1:G2"/>
    <x:mergeCell ref="A3:G4"/>
  </x:mergeCells>
  <x:pageMargins left="0.7" right="0.7" top="0.75" bottom="0.75" header="0.3" footer="0.3"/>
  <x:tableParts count="1">
    <x:tablePart xmlns:r="http://schemas.openxmlformats.org/officeDocument/2006/relationships" r:id="R5e493c4d221b422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30" hidden="0" customWidth="1"/>
    <x:col min="4" max="4" width="14" hidden="0" customWidth="1"/>
    <x:col min="5" max="5" width="20" hidden="0" customWidth="1"/>
    <x:col min="6" max="6" width="28" hidden="0" customWidth="1"/>
    <x:col min="7" max="7" width="28" hidden="0" customWidth="1"/>
    <x:col min="8" max="8" width="30" hidden="0" customWidth="1"/>
    <x:col min="9" max="9" width="24" hidden="0" customWidth="1"/>
  </x:cols>
  <x:sheetData>
    <x:row r="1" ht="28" customHeight="1">
      <x:c r="A1" s="80" t="str">
        <x:v>MY SHORTLIST | Turn research into a decision</x:v>
      </x:c>
      <x:c r="B1" s="80"/>
      <x:c r="C1" s="80"/>
      <x:c r="D1" s="80"/>
      <x:c r="E1" s="80"/>
      <x:c r="F1" s="80"/>
      <x:c r="G1" s="80"/>
      <x:c r="H1" s="80"/>
      <x:c r="I1" s="80"/>
    </x:row>
    <x:row r="2" ht="24" customHeight="1">
      <x:c r="A2" s="80"/>
      <x:c r="B2" s="80"/>
      <x:c r="C2" s="80"/>
      <x:c r="D2" s="80"/>
      <x:c r="E2" s="80"/>
      <x:c r="F2" s="80"/>
      <x:c r="G2" s="80"/>
      <x:c r="H2" s="80"/>
      <x:c r="I2" s="80"/>
    </x:row>
    <x:row r="3" ht="27" customHeight="1">
      <x:c r="A3" s="81" t="str">
        <x:v>Blue cells are yours. Choose up to ten candidates, verify jurisdiction, then use the separate deal calculator and buy-box checklist. This sheet does not approve a deal.</x:v>
      </x:c>
      <x:c r="B3" s="81"/>
      <x:c r="C3" s="81"/>
      <x:c r="D3" s="81"/>
      <x:c r="E3" s="81"/>
      <x:c r="F3" s="81"/>
      <x:c r="G3" s="81"/>
      <x:c r="H3" s="81"/>
      <x:c r="I3" s="81"/>
    </x:row>
    <x:row r="4" ht="27" customHeight="1">
      <x:c r="A4" s="81"/>
      <x:c r="B4" s="81"/>
      <x:c r="C4" s="81"/>
      <x:c r="D4" s="81"/>
      <x:c r="E4" s="81"/>
      <x:c r="F4" s="81"/>
      <x:c r="G4" s="81"/>
      <x:c r="H4" s="81"/>
      <x:c r="I4" s="81"/>
    </x:row>
    <x:row r="5" ht="10" customHeight="1">
      <x:c r="A5" s="78"/>
      <x:c r="B5" s="78"/>
      <x:c r="C5" s="78"/>
      <x:c r="D5" s="78"/>
      <x:c r="E5" s="78"/>
      <x:c r="F5" s="78"/>
      <x:c r="G5" s="78"/>
      <x:c r="H5" s="78"/>
      <x:c r="I5" s="78"/>
    </x:row>
    <x:row r="6" ht="37" customHeight="1">
      <x:c r="A6" s="103" t="str">
        <x:v>Priority</x:v>
      </x:c>
      <x:c r="B6" s="103" t="str">
        <x:v>Market / ID</x:v>
      </x:c>
      <x:c r="C6" s="103" t="str">
        <x:v>Property address</x:v>
      </x:c>
      <x:c r="D6" s="103" t="str">
        <x:v>Model</x:v>
      </x:c>
      <x:c r="E6" s="103" t="str">
        <x:v>Jurisdiction verified?</x:v>
      </x:c>
      <x:c r="F6" s="103" t="str">
        <x:v>Revenue comp evidence</x:v>
      </x:c>
      <x:c r="G6" s="103" t="str">
        <x:v>Insurance / cost quotes</x:v>
      </x:c>
      <x:c r="H6" s="103" t="str">
        <x:v>Next action</x:v>
      </x:c>
      <x:c r="I6" s="103" t="str">
        <x:v>Owner / deadline</x:v>
      </x:c>
    </x:row>
    <x:row r="7" ht="68" customHeight="1">
      <x:c r="A7" s="78" t="n">
        <x:v>1</x:v>
      </x:c>
      <x:c r="B7" s="117"/>
      <x:c r="C7" s="117"/>
      <x:c r="D7" s="117" t="str">
        <x:v>Ownership</x:v>
      </x:c>
      <x:c r="E7" s="117" t="str">
        <x:v>Unconfirmed</x:v>
      </x:c>
      <x:c r="F7" s="117"/>
      <x:c r="G7" s="117"/>
      <x:c r="H7" s="117"/>
      <x:c r="I7" s="117"/>
    </x:row>
    <x:row r="8" ht="68" customHeight="1">
      <x:c r="A8" s="78" t="n">
        <x:v>2</x:v>
      </x:c>
      <x:c r="B8" s="117"/>
      <x:c r="C8" s="117"/>
      <x:c r="D8" s="117" t="str">
        <x:v>Ownership</x:v>
      </x:c>
      <x:c r="E8" s="117" t="str">
        <x:v>Unconfirmed</x:v>
      </x:c>
      <x:c r="F8" s="117"/>
      <x:c r="G8" s="117"/>
      <x:c r="H8" s="117"/>
      <x:c r="I8" s="117"/>
    </x:row>
    <x:row r="9" ht="68" customHeight="1">
      <x:c r="A9" s="78" t="n">
        <x:v>3</x:v>
      </x:c>
      <x:c r="B9" s="117"/>
      <x:c r="C9" s="117"/>
      <x:c r="D9" s="117" t="str">
        <x:v>Ownership</x:v>
      </x:c>
      <x:c r="E9" s="117" t="str">
        <x:v>Unconfirmed</x:v>
      </x:c>
      <x:c r="F9" s="117"/>
      <x:c r="G9" s="117"/>
      <x:c r="H9" s="117"/>
      <x:c r="I9" s="117"/>
    </x:row>
    <x:row r="10" ht="68" customHeight="1">
      <x:c r="A10" s="78" t="n">
        <x:v>4</x:v>
      </x:c>
      <x:c r="B10" s="117"/>
      <x:c r="C10" s="117"/>
      <x:c r="D10" s="117" t="str">
        <x:v>Ownership</x:v>
      </x:c>
      <x:c r="E10" s="117" t="str">
        <x:v>Unconfirmed</x:v>
      </x:c>
      <x:c r="F10" s="117"/>
      <x:c r="G10" s="117"/>
      <x:c r="H10" s="117"/>
      <x:c r="I10" s="117"/>
    </x:row>
    <x:row r="11" ht="68" customHeight="1">
      <x:c r="A11" s="78" t="n">
        <x:v>5</x:v>
      </x:c>
      <x:c r="B11" s="117"/>
      <x:c r="C11" s="117"/>
      <x:c r="D11" s="117" t="str">
        <x:v>Ownership</x:v>
      </x:c>
      <x:c r="E11" s="117" t="str">
        <x:v>Unconfirmed</x:v>
      </x:c>
      <x:c r="F11" s="117"/>
      <x:c r="G11" s="117"/>
      <x:c r="H11" s="117"/>
      <x:c r="I11" s="117"/>
    </x:row>
    <x:row r="12" ht="68" customHeight="1">
      <x:c r="A12" s="78" t="n">
        <x:v>6</x:v>
      </x:c>
      <x:c r="B12" s="117"/>
      <x:c r="C12" s="117"/>
      <x:c r="D12" s="117" t="str">
        <x:v>Ownership</x:v>
      </x:c>
      <x:c r="E12" s="117" t="str">
        <x:v>Unconfirmed</x:v>
      </x:c>
      <x:c r="F12" s="117"/>
      <x:c r="G12" s="117"/>
      <x:c r="H12" s="117"/>
      <x:c r="I12" s="117"/>
    </x:row>
    <x:row r="13" ht="68" customHeight="1">
      <x:c r="A13" s="78" t="n">
        <x:v>7</x:v>
      </x:c>
      <x:c r="B13" s="117"/>
      <x:c r="C13" s="117"/>
      <x:c r="D13" s="117" t="str">
        <x:v>Ownership</x:v>
      </x:c>
      <x:c r="E13" s="117" t="str">
        <x:v>Unconfirmed</x:v>
      </x:c>
      <x:c r="F13" s="117"/>
      <x:c r="G13" s="117"/>
      <x:c r="H13" s="117"/>
      <x:c r="I13" s="117"/>
    </x:row>
    <x:row r="14" ht="68" customHeight="1">
      <x:c r="A14" s="78" t="n">
        <x:v>8</x:v>
      </x:c>
      <x:c r="B14" s="117"/>
      <x:c r="C14" s="117"/>
      <x:c r="D14" s="117" t="str">
        <x:v>Ownership</x:v>
      </x:c>
      <x:c r="E14" s="117" t="str">
        <x:v>Unconfirmed</x:v>
      </x:c>
      <x:c r="F14" s="117"/>
      <x:c r="G14" s="117"/>
      <x:c r="H14" s="117"/>
      <x:c r="I14" s="117"/>
    </x:row>
    <x:row r="15" ht="68" customHeight="1">
      <x:c r="A15" s="78" t="n">
        <x:v>9</x:v>
      </x:c>
      <x:c r="B15" s="117"/>
      <x:c r="C15" s="117"/>
      <x:c r="D15" s="117" t="str">
        <x:v>Ownership</x:v>
      </x:c>
      <x:c r="E15" s="117" t="str">
        <x:v>Unconfirmed</x:v>
      </x:c>
      <x:c r="F15" s="117"/>
      <x:c r="G15" s="117"/>
      <x:c r="H15" s="117"/>
      <x:c r="I15" s="117"/>
    </x:row>
    <x:row r="16" ht="68" customHeight="1">
      <x:c r="A16" s="78" t="n">
        <x:v>10</x:v>
      </x:c>
      <x:c r="B16" s="117"/>
      <x:c r="C16" s="117"/>
      <x:c r="D16" s="117" t="str">
        <x:v>Ownership</x:v>
      </x:c>
      <x:c r="E16" s="117" t="str">
        <x:v>Unconfirmed</x:v>
      </x:c>
      <x:c r="F16" s="117"/>
      <x:c r="G16" s="117"/>
      <x:c r="H16" s="117"/>
      <x:c r="I16" s="117"/>
    </x:row>
  </x:sheetData>
  <x:mergeCells>
    <x:mergeCell ref="A1:G2"/>
    <x:mergeCell ref="A3:G4"/>
  </x:mergeCells>
  <x:dataValidations count="2">
    <x:dataValidation type="list" sqref="D7:D16">
      <x:formula1>"Ownership,Arbitrage"</x:formula1>
    </x:dataValidation>
    <x:dataValidation type="list" sqref="E7:E16">
      <x:formula1>"Unconfirmed,Yes,No"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85b2c70e2a4ea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0" hidden="0" customWidth="1"/>
    <x:col min="3" max="3" width="7" hidden="0" customWidth="1"/>
    <x:col min="4" max="4" width="24" hidden="0" customWidth="1"/>
    <x:col min="5" max="5" width="11" hidden="0" customWidth="1"/>
    <x:col min="6" max="6" width="11" hidden="0" customWidth="1"/>
    <x:col min="7" max="7" width="16" hidden="0" customWidth="1"/>
    <x:col min="8" max="8" width="14" hidden="0" customWidth="1"/>
    <x:col min="9" max="9" width="34" hidden="0" customWidth="1"/>
    <x:col min="10" max="10" width="28" hidden="0" customWidth="1"/>
  </x:cols>
  <x:sheetData>
    <x:row r="1">
      <x:c r="A1" s="120" t="str">
        <x:v>Market Scan</x:v>
      </x:c>
      <x:c r="B1" s="120"/>
      <x:c r="C1" s="120"/>
      <x:c r="D1" s="120"/>
      <x:c r="E1" s="120"/>
      <x:c r="F1" s="120"/>
      <x:c r="G1" s="120"/>
      <x:c r="H1" s="120"/>
      <x:c r="I1" s="120"/>
      <x:c r="J1" s="120"/>
    </x:row>
    <x:row r="2">
      <x:c r="A2" s="120"/>
      <x:c r="B2" s="120"/>
      <x:c r="C2" s="120"/>
      <x:c r="D2" s="120"/>
      <x:c r="E2" s="120"/>
      <x:c r="F2" s="120"/>
      <x:c r="G2" s="120"/>
      <x:c r="H2" s="120"/>
      <x:c r="I2" s="120"/>
      <x:c r="J2" s="120"/>
    </x:row>
    <x:row r="3">
      <x:c r="A3" s="121" t="str">
        <x:v>A compact comparison view. Use it to shortlist markets, not to approve a property.</x:v>
      </x:c>
      <x:c r="B3" s="121"/>
      <x:c r="C3" s="121"/>
      <x:c r="D3" s="121"/>
      <x:c r="E3" s="121"/>
      <x:c r="F3" s="121"/>
      <x:c r="G3" s="121"/>
      <x:c r="H3" s="121"/>
      <x:c r="I3" s="121"/>
      <x:c r="J3" s="121"/>
    </x:row>
    <x:row r="4">
      <x:c r="A4" s="118"/>
      <x:c r="B4" s="118"/>
      <x:c r="C4" s="118"/>
      <x:c r="D4" s="118"/>
      <x:c r="E4" s="118"/>
      <x:c r="F4" s="118"/>
      <x:c r="G4" s="118"/>
      <x:c r="H4" s="118"/>
      <x:c r="I4" s="118"/>
      <x:c r="J4" s="118"/>
    </x:row>
    <x:row r="5">
      <x:c r="A5" s="118"/>
      <x:c r="B5" s="118"/>
      <x:c r="C5" s="118"/>
      <x:c r="D5" s="118"/>
      <x:c r="E5" s="118"/>
      <x:c r="F5" s="118"/>
      <x:c r="G5" s="118"/>
      <x:c r="H5" s="118"/>
      <x:c r="I5" s="118"/>
      <x:c r="J5" s="118"/>
    </x:row>
    <x:row r="6">
      <x:c r="A6" s="122" t="str">
        <x:v>ID</x:v>
      </x:c>
      <x:c r="B6" s="122" t="str">
        <x:v>Market</x:v>
      </x:c>
      <x:c r="C6" s="122" t="str">
        <x:v>State</x:v>
      </x:c>
      <x:c r="D6" s="122" t="str">
        <x:v>Type</x:v>
      </x:c>
      <x:c r="E6" s="122" t="str">
        <x:v>ADR</x:v>
      </x:c>
      <x:c r="F6" s="122" t="str">
        <x:v>Occupancy</x:v>
      </x:c>
      <x:c r="G6" s="122" t="str">
        <x:v>Annual revenue</x:v>
      </x:c>
      <x:c r="H6" s="122" t="str">
        <x:v>Active listings</x:v>
      </x:c>
      <x:c r="I6" s="122" t="str">
        <x:v>Quality flag</x:v>
      </x:c>
      <x:c r="J6" s="122" t="str">
        <x:v>Regulatory screen</x:v>
      </x:c>
    </x:row>
    <x:row r="7">
      <x:c r="A7" s="126" t="n">
        <x:f>'100 Markets'!A7</x:f>
        <x:v>1</x:v>
      </x:c>
      <x:c r="B7" s="126" t="str">
        <x:f>'100 Markets'!B7</x:f>
        <x:v>Sevierville</x:v>
      </x:c>
      <x:c r="C7" s="126" t="str">
        <x:f>'100 Markets'!C7</x:f>
        <x:v>TN</x:v>
      </x:c>
      <x:c r="D7" s="126" t="str">
        <x:f>'100 Markets'!D7</x:f>
        <x:v>Mountain</x:v>
      </x:c>
      <x:c r="E7" s="127" t="n">
        <x:f>'100 Markets'!E7</x:f>
        <x:v>363</x:v>
      </x:c>
      <x:c r="F7" s="128" t="n">
        <x:f>'100 Markets'!F7</x:f>
        <x:v>0.57</x:v>
      </x:c>
      <x:c r="G7" s="127" t="n">
        <x:f>'100 Markets'!G7</x:f>
        <x:v>69900</x:v>
      </x:c>
      <x:c r="H7" s="129" t="n">
        <x:f>'100 Markets'!I7</x:f>
        <x:v>7592</x:v>
      </x:c>
      <x:c r="I7" s="126" t="str">
        <x:f>'100 Markets'!L7</x:f>
        <x:v>LARGE SUPPLY CHANGE: CHECK COVERAGE</x:v>
      </x:c>
      <x:c r="J7" s="126" t="str">
        <x:f>'100 Markets'!M7</x:f>
        <x:v>Permit path identified</x:v>
      </x:c>
    </x:row>
    <x:row r="8">
      <x:c r="A8" s="126" t="n">
        <x:f>'100 Markets'!A8</x:f>
        <x:v>2</x:v>
      </x:c>
      <x:c r="B8" s="126" t="str">
        <x:f>'100 Markets'!B8</x:f>
        <x:v>Gatlinburg</x:v>
      </x:c>
      <x:c r="C8" s="126" t="str">
        <x:f>'100 Markets'!C8</x:f>
        <x:v>TN</x:v>
      </x:c>
      <x:c r="D8" s="126" t="str">
        <x:f>'100 Markets'!D8</x:f>
        <x:v>National park gateway</x:v>
      </x:c>
      <x:c r="E8" s="127" t="n">
        <x:f>'100 Markets'!E8</x:f>
        <x:v>340</x:v>
      </x:c>
      <x:c r="F8" s="128" t="n">
        <x:f>'100 Markets'!F8</x:f>
        <x:v>0.57</x:v>
      </x:c>
      <x:c r="G8" s="127" t="n">
        <x:f>'100 Markets'!G8</x:f>
        <x:v>66600</x:v>
      </x:c>
      <x:c r="H8" s="129" t="n">
        <x:f>'100 Markets'!I8</x:f>
        <x:v>7258</x:v>
      </x:c>
      <x:c r="I8" s="126" t="str">
        <x:f>'100 Markets'!L8</x:f>
        <x:v>SNAPSHOT VERSIONS DIFFER: REFRESH</x:v>
      </x:c>
      <x:c r="J8" s="126" t="str">
        <x:f>'100 Markets'!M8</x:f>
        <x:v>Partial jurisdiction review</x:v>
      </x:c>
    </x:row>
    <x:row r="9">
      <x:c r="A9" s="126" t="n">
        <x:f>'100 Markets'!A9</x:f>
        <x:v>3</x:v>
      </x:c>
      <x:c r="B9" s="126" t="str">
        <x:f>'100 Markets'!B9</x:f>
        <x:v>Pigeon Forge</x:v>
      </x:c>
      <x:c r="C9" s="126" t="str">
        <x:f>'100 Markets'!C9</x:f>
        <x:v>TN</x:v>
      </x:c>
      <x:c r="D9" s="126" t="str">
        <x:f>'100 Markets'!D9</x:f>
        <x:v>Family entertainment</x:v>
      </x:c>
      <x:c r="E9" s="127" t="n">
        <x:f>'100 Markets'!E9</x:f>
        <x:v>343</x:v>
      </x:c>
      <x:c r="F9" s="128" t="n">
        <x:f>'100 Markets'!F9</x:f>
        <x:v>0.56</x:v>
      </x:c>
      <x:c r="G9" s="127" t="n">
        <x:f>'100 Markets'!G9</x:f>
        <x:v>65300</x:v>
      </x:c>
      <x:c r="H9" s="129" t="n">
        <x:f>'100 Markets'!I9</x:f>
        <x:v>3162</x:v>
      </x:c>
      <x:c r="I9" s="126" t="str">
        <x:f>'100 Markets'!L9</x:f>
        <x:v>LARGE SUPPLY CHANGE: CHECK COVERAGE</x:v>
      </x:c>
      <x:c r="J9" s="126" t="str">
        <x:f>'100 Markets'!M9</x:f>
        <x:v>Partial jurisdiction review</x:v>
      </x:c>
    </x:row>
    <x:row r="10">
      <x:c r="A10" s="126" t="n">
        <x:f>'100 Markets'!A10</x:f>
        <x:v>4</x:v>
      </x:c>
      <x:c r="B10" s="126" t="str">
        <x:f>'100 Markets'!B10</x:f>
        <x:v>Blue Ridge</x:v>
      </x:c>
      <x:c r="C10" s="126" t="str">
        <x:f>'100 Markets'!C10</x:f>
        <x:v>GA</x:v>
      </x:c>
      <x:c r="D10" s="126" t="str">
        <x:f>'100 Markets'!D10</x:f>
        <x:v>Mountain</x:v>
      </x:c>
      <x:c r="E10" s="127" t="n">
        <x:f>'100 Markets'!E10</x:f>
        <x:v>357</x:v>
      </x:c>
      <x:c r="F10" s="128" t="n">
        <x:f>'100 Markets'!F10</x:f>
        <x:v>0.48</x:v>
      </x:c>
      <x:c r="G10" s="127" t="n">
        <x:f>'100 Markets'!G10</x:f>
        <x:v>57400</x:v>
      </x:c>
      <x:c r="H10" s="129" t="n">
        <x:f>'100 Markets'!I10</x:f>
        <x:v>1632</x:v>
      </x:c>
      <x:c r="I10" s="126" t="str">
        <x:f>'100 Markets'!L10</x:f>
        <x:v>LARGE SUPPLY CHANGE: CHECK COVERAGE</x:v>
      </x:c>
      <x:c r="J10" s="126" t="str">
        <x:f>'100 Markets'!M10</x:f>
        <x:v>Local review not completed</x:v>
      </x:c>
    </x:row>
    <x:row r="11">
      <x:c r="A11" s="126" t="n">
        <x:f>'100 Markets'!A11</x:f>
        <x:v>5</x:v>
      </x:c>
      <x:c r="B11" s="126" t="str">
        <x:f>'100 Markets'!B11</x:f>
        <x:v>Ellijay</x:v>
      </x:c>
      <x:c r="C11" s="126" t="str">
        <x:f>'100 Markets'!C11</x:f>
        <x:v>GA</x:v>
      </x:c>
      <x:c r="D11" s="126" t="str">
        <x:f>'100 Markets'!D11</x:f>
        <x:v>Mountain</x:v>
      </x:c>
      <x:c r="E11" s="127" t="n">
        <x:f>'100 Markets'!E11</x:f>
        <x:v>300</x:v>
      </x:c>
      <x:c r="F11" s="128" t="n">
        <x:f>'100 Markets'!F11</x:f>
        <x:v>0.46</x:v>
      </x:c>
      <x:c r="G11" s="127" t="n">
        <x:f>'100 Markets'!G11</x:f>
        <x:v>45900</x:v>
      </x:c>
      <x:c r="H11" s="129" t="n">
        <x:f>'100 Markets'!I11</x:f>
        <x:v>683</x:v>
      </x:c>
      <x:c r="I11" s="126" t="str">
        <x:f>'100 Markets'!L11</x:f>
        <x:v>LARGE SUPPLY CHANGE: CHECK COVERAGE</x:v>
      </x:c>
      <x:c r="J11" s="126" t="str">
        <x:f>'100 Markets'!M11</x:f>
        <x:v>Local review not completed</x:v>
      </x:c>
    </x:row>
    <x:row r="12">
      <x:c r="A12" s="126" t="n">
        <x:f>'100 Markets'!A12</x:f>
        <x:v>6</x:v>
      </x:c>
      <x:c r="B12" s="126" t="str">
        <x:f>'100 Markets'!B12</x:f>
        <x:v>Broken Bow</x:v>
      </x:c>
      <x:c r="C12" s="126" t="str">
        <x:f>'100 Markets'!C12</x:f>
        <x:v>OK</x:v>
      </x:c>
      <x:c r="D12" s="126" t="str">
        <x:f>'100 Markets'!D12</x:f>
        <x:v>Lake / cabin</x:v>
      </x:c>
      <x:c r="E12" s="127" t="n">
        <x:f>'100 Markets'!E12</x:f>
        <x:v>430</x:v>
      </x:c>
      <x:c r="F12" s="128" t="n">
        <x:f>'100 Markets'!F12</x:f>
        <x:v>0.45</x:v>
      </x:c>
      <x:c r="G12" s="127" t="n">
        <x:f>'100 Markets'!G12</x:f>
        <x:v>67400</x:v>
      </x:c>
      <x:c r="H12" s="129" t="n">
        <x:f>'100 Markets'!I12</x:f>
        <x:v>3523</x:v>
      </x:c>
      <x:c r="I12" s="126" t="str">
        <x:f>'100 Markets'!L12</x:f>
        <x:v>LARGE SUPPLY CHANGE: CHECK COVERAGE</x:v>
      </x:c>
      <x:c r="J12" s="126" t="str">
        <x:f>'100 Markets'!M12</x:f>
        <x:v>Local review not completed</x:v>
      </x:c>
    </x:row>
    <x:row r="13">
      <x:c r="A13" s="126" t="n">
        <x:f>'100 Markets'!A13</x:f>
        <x:v>7</x:v>
      </x:c>
      <x:c r="B13" s="126" t="str">
        <x:f>'100 Markets'!B13</x:f>
        <x:v>Branson</x:v>
      </x:c>
      <x:c r="C13" s="126" t="str">
        <x:f>'100 Markets'!C13</x:f>
        <x:v>MO</x:v>
      </x:c>
      <x:c r="D13" s="126" t="str">
        <x:f>'100 Markets'!D13</x:f>
        <x:v>Family entertainment</x:v>
      </x:c>
      <x:c r="E13" s="127" t="n">
        <x:f>'100 Markets'!E13</x:f>
        <x:v>247</x:v>
      </x:c>
      <x:c r="F13" s="128" t="n">
        <x:f>'100 Markets'!F13</x:f>
        <x:v>0.46</x:v>
      </x:c>
      <x:c r="G13" s="127" t="n">
        <x:f>'100 Markets'!G13</x:f>
        <x:v>25700</x:v>
      </x:c>
      <x:c r="H13" s="129" t="n">
        <x:f>'100 Markets'!I13</x:f>
        <x:v>6996</x:v>
      </x:c>
      <x:c r="I13" s="126" t="str">
        <x:f>'100 Markets'!L13</x:f>
        <x:v>Dated vendor benchmark; match property comps</x:v>
      </x:c>
      <x:c r="J13" s="126" t="str">
        <x:f>'100 Markets'!M13</x:f>
        <x:v>Local review not completed</x:v>
      </x:c>
    </x:row>
    <x:row r="14">
      <x:c r="A14" s="126" t="n">
        <x:f>'100 Markets'!A14</x:f>
        <x:v>8</x:v>
      </x:c>
      <x:c r="B14" s="126" t="str">
        <x:f>'100 Markets'!B14</x:f>
        <x:v>Hot Springs</x:v>
      </x:c>
      <x:c r="C14" s="126" t="str">
        <x:f>'100 Markets'!C14</x:f>
        <x:v>AR</x:v>
      </x:c>
      <x:c r="D14" s="126" t="str">
        <x:f>'100 Markets'!D14</x:f>
        <x:v>Lake / national park</x:v>
      </x:c>
      <x:c r="E14" s="127" t="n">
        <x:f>'100 Markets'!E14</x:f>
        <x:v>211</x:v>
      </x:c>
      <x:c r="F14" s="128" t="n">
        <x:f>'100 Markets'!F14</x:f>
        <x:v>0.22</x:v>
      </x:c>
      <x:c r="G14" s="127" t="n">
        <x:f>'100 Markets'!G14</x:f>
        <x:v>27191</x:v>
      </x:c>
      <x:c r="H14" s="129" t="n">
        <x:f>'100 Markets'!I14</x:f>
        <x:v>745</x:v>
      </x:c>
      <x:c r="I14" s="126" t="str">
        <x:f>'100 Markets'!L14</x:f>
        <x:v>Dated vendor benchmark; match property comps</x:v>
      </x:c>
      <x:c r="J14" s="126" t="str">
        <x:f>'100 Markets'!M14</x:f>
        <x:v>Local review not completed</x:v>
      </x:c>
    </x:row>
    <x:row r="15">
      <x:c r="A15" s="126" t="n">
        <x:f>'100 Markets'!A15</x:f>
        <x:v>9</x:v>
      </x:c>
      <x:c r="B15" s="126" t="str">
        <x:f>'100 Markets'!B15</x:f>
        <x:v>Gulf Shores</x:v>
      </x:c>
      <x:c r="C15" s="126" t="str">
        <x:f>'100 Markets'!C15</x:f>
        <x:v>AL</x:v>
      </x:c>
      <x:c r="D15" s="126" t="str">
        <x:f>'100 Markets'!D15</x:f>
        <x:v>Beach</x:v>
      </x:c>
      <x:c r="E15" s="127" t="n">
        <x:f>'100 Markets'!E15</x:f>
        <x:v>422</x:v>
      </x:c>
      <x:c r="F15" s="128" t="n">
        <x:f>'100 Markets'!F15</x:f>
        <x:v>0.56</x:v>
      </x:c>
      <x:c r="G15" s="127" t="n">
        <x:f>'100 Markets'!G15</x:f>
        <x:v>46800</x:v>
      </x:c>
      <x:c r="H15" s="129" t="n">
        <x:f>'100 Markets'!I15</x:f>
        <x:v>9799</x:v>
      </x:c>
      <x:c r="I15" s="126" t="str">
        <x:f>'100 Markets'!L15</x:f>
        <x:v>Dated vendor benchmark; match property comps</x:v>
      </x:c>
      <x:c r="J15" s="126" t="str">
        <x:f>'100 Markets'!M15</x:f>
        <x:v>Permit path identified</x:v>
      </x:c>
    </x:row>
    <x:row r="16">
      <x:c r="A16" s="126" t="n">
        <x:f>'100 Markets'!A16</x:f>
        <x:v>10</x:v>
      </x:c>
      <x:c r="B16" s="126" t="str">
        <x:f>'100 Markets'!B16</x:f>
        <x:v>Orange Beach</x:v>
      </x:c>
      <x:c r="C16" s="126" t="str">
        <x:f>'100 Markets'!C16</x:f>
        <x:v>AL</x:v>
      </x:c>
      <x:c r="D16" s="126" t="str">
        <x:f>'100 Markets'!D16</x:f>
        <x:v>Beach</x:v>
      </x:c>
      <x:c r="E16" s="127" t="n">
        <x:f>'100 Markets'!E16</x:f>
        <x:v>406</x:v>
      </x:c>
      <x:c r="F16" s="128" t="n">
        <x:f>'100 Markets'!F16</x:f>
        <x:v>0.61</x:v>
      </x:c>
      <x:c r="G16" s="127" t="n">
        <x:f>'100 Markets'!G16</x:f>
        <x:v>70500</x:v>
      </x:c>
      <x:c r="H16" s="129" t="n">
        <x:f>'100 Markets'!I16</x:f>
        <x:v>2985</x:v>
      </x:c>
      <x:c r="I16" s="126" t="str">
        <x:f>'100 Markets'!L16</x:f>
        <x:v>LARGE SUPPLY CHANGE: CHECK COVERAGE</x:v>
      </x:c>
      <x:c r="J16" s="126" t="str">
        <x:f>'100 Markets'!M16</x:f>
        <x:v>Local review not completed</x:v>
      </x:c>
    </x:row>
    <x:row r="17">
      <x:c r="A17" s="126" t="n">
        <x:f>'100 Markets'!A17</x:f>
        <x:v>11</x:v>
      </x:c>
      <x:c r="B17" s="126" t="str">
        <x:f>'100 Markets'!B17</x:f>
        <x:v>Panama City Beach</x:v>
      </x:c>
      <x:c r="C17" s="126" t="str">
        <x:f>'100 Markets'!C17</x:f>
        <x:v>FL</x:v>
      </x:c>
      <x:c r="D17" s="126" t="str">
        <x:f>'100 Markets'!D17</x:f>
        <x:v>Beach</x:v>
      </x:c>
      <x:c r="E17" s="127" t="n">
        <x:f>'100 Markets'!E17</x:f>
        <x:v>212</x:v>
      </x:c>
      <x:c r="F17" s="128" t="n">
        <x:f>'100 Markets'!F17</x:f>
        <x:v>0.38</x:v>
      </x:c>
      <x:c r="G17" s="127" t="n">
        <x:f>'100 Markets'!G17</x:f>
        <x:v>43040</x:v>
      </x:c>
      <x:c r="H17" s="129" t="n">
        <x:f>'100 Markets'!I17</x:f>
        <x:v>2395</x:v>
      </x:c>
      <x:c r="I17" s="126" t="str">
        <x:f>'100 Markets'!L17</x:f>
        <x:v>Dated vendor benchmark; match property comps</x:v>
      </x:c>
      <x:c r="J17" s="126" t="str">
        <x:f>'100 Markets'!M17</x:f>
        <x:v>Permit path identified</x:v>
      </x:c>
    </x:row>
    <x:row r="18">
      <x:c r="A18" s="126" t="n">
        <x:f>'100 Markets'!A18</x:f>
        <x:v>12</x:v>
      </x:c>
      <x:c r="B18" s="126" t="str">
        <x:f>'100 Markets'!B18</x:f>
        <x:v>Destin</x:v>
      </x:c>
      <x:c r="C18" s="126" t="str">
        <x:f>'100 Markets'!C18</x:f>
        <x:v>FL</x:v>
      </x:c>
      <x:c r="D18" s="126" t="str">
        <x:f>'100 Markets'!D18</x:f>
        <x:v>Beach</x:v>
      </x:c>
      <x:c r="E18" s="127" t="n">
        <x:f>'100 Markets'!E18</x:f>
        <x:v>446</x:v>
      </x:c>
      <x:c r="F18" s="128" t="n">
        <x:f>'100 Markets'!F18</x:f>
        <x:v>0.61</x:v>
      </x:c>
      <x:c r="G18" s="127" t="n">
        <x:f>'100 Markets'!G18</x:f>
        <x:v>75600</x:v>
      </x:c>
      <x:c r="H18" s="129" t="n">
        <x:f>'100 Markets'!I18</x:f>
        <x:v>6198</x:v>
      </x:c>
      <x:c r="I18" s="126" t="str">
        <x:f>'100 Markets'!L18</x:f>
        <x:v>Dated vendor benchmark; match property comps</x:v>
      </x:c>
      <x:c r="J18" s="126" t="str">
        <x:f>'100 Markets'!M18</x:f>
        <x:v>Local review not completed</x:v>
      </x:c>
    </x:row>
    <x:row r="19">
      <x:c r="A19" s="126" t="n">
        <x:f>'100 Markets'!A19</x:f>
        <x:v>13</x:v>
      </x:c>
      <x:c r="B19" s="126" t="str">
        <x:f>'100 Markets'!B19</x:f>
        <x:v>Fort Walton Beach</x:v>
      </x:c>
      <x:c r="C19" s="126" t="str">
        <x:f>'100 Markets'!C19</x:f>
        <x:v>FL</x:v>
      </x:c>
      <x:c r="D19" s="126" t="str">
        <x:f>'100 Markets'!D19</x:f>
        <x:v>Beach / military</x:v>
      </x:c>
      <x:c r="E19" s="127" t="n">
        <x:f>'100 Markets'!E19</x:f>
        <x:v>338</x:v>
      </x:c>
      <x:c r="F19" s="128" t="n">
        <x:f>'100 Markets'!F19</x:f>
        <x:v>0.6</x:v>
      </x:c>
      <x:c r="G19" s="127" t="n">
        <x:f>'100 Markets'!G19</x:f>
        <x:v>40600</x:v>
      </x:c>
      <x:c r="H19" s="129" t="n">
        <x:f>'100 Markets'!I19</x:f>
        <x:v>4345</x:v>
      </x:c>
      <x:c r="I19" s="126" t="str">
        <x:f>'100 Markets'!L19</x:f>
        <x:v>Dated vendor benchmark; match property comps</x:v>
      </x:c>
      <x:c r="J19" s="126" t="str">
        <x:f>'100 Markets'!M19</x:f>
        <x:v>Local review not completed</x:v>
      </x:c>
    </x:row>
    <x:row r="20">
      <x:c r="A20" s="126" t="n">
        <x:f>'100 Markets'!A20</x:f>
        <x:v>14</x:v>
      </x:c>
      <x:c r="B20" s="126" t="str">
        <x:f>'100 Markets'!B20</x:f>
        <x:v>Pensacola</x:v>
      </x:c>
      <x:c r="C20" s="126" t="str">
        <x:f>'100 Markets'!C20</x:f>
        <x:v>FL</x:v>
      </x:c>
      <x:c r="D20" s="126" t="str">
        <x:f>'100 Markets'!D20</x:f>
        <x:v>Beach / military</x:v>
      </x:c>
      <x:c r="E20" s="127" t="n">
        <x:f>'100 Markets'!E20</x:f>
        <x:v>321</x:v>
      </x:c>
      <x:c r="F20" s="128" t="n">
        <x:f>'100 Markets'!F20</x:f>
        <x:v>0.61</x:v>
      </x:c>
      <x:c r="G20" s="127" t="n">
        <x:f>'100 Markets'!G20</x:f>
        <x:v>57900</x:v>
      </x:c>
      <x:c r="H20" s="129" t="n">
        <x:f>'100 Markets'!I20</x:f>
        <x:v>7844</x:v>
      </x:c>
      <x:c r="I20" s="126" t="str">
        <x:f>'100 Markets'!L20</x:f>
        <x:v>LARGE SUPPLY CHANGE: CHECK COVERAGE</x:v>
      </x:c>
      <x:c r="J20" s="126" t="str">
        <x:f>'100 Markets'!M20</x:f>
        <x:v>Local review not completed</x:v>
      </x:c>
    </x:row>
    <x:row r="21">
      <x:c r="A21" s="126" t="n">
        <x:f>'100 Markets'!A21</x:f>
        <x:v>15</x:v>
      </x:c>
      <x:c r="B21" s="126" t="str">
        <x:f>'100 Markets'!B21</x:f>
        <x:v>Kissimmee</x:v>
      </x:c>
      <x:c r="C21" s="126" t="str">
        <x:f>'100 Markets'!C21</x:f>
        <x:v>FL</x:v>
      </x:c>
      <x:c r="D21" s="126" t="str">
        <x:f>'100 Markets'!D21</x:f>
        <x:v>Theme parks</x:v>
      </x:c>
      <x:c r="E21" s="127" t="n">
        <x:f>'100 Markets'!E21</x:f>
        <x:v>192</x:v>
      </x:c>
      <x:c r="F21" s="128" t="n">
        <x:f>'100 Markets'!F21</x:f>
        <x:v>0.57</x:v>
      </x:c>
      <x:c r="G21" s="127" t="n">
        <x:f>'100 Markets'!G21</x:f>
        <x:v>36838</x:v>
      </x:c>
      <x:c r="H21" s="129" t="n">
        <x:f>'100 Markets'!I21</x:f>
        <x:v>8881</x:v>
      </x:c>
      <x:c r="I21" s="126" t="str">
        <x:f>'100 Markets'!L21</x:f>
        <x:v>ALTERNATE PROVIDER USED</x:v>
      </x:c>
      <x:c r="J21" s="126" t="str">
        <x:f>'100 Markets'!M21</x:f>
        <x:v>Local review not completed</x:v>
      </x:c>
    </x:row>
    <x:row r="22">
      <x:c r="A22" s="126" t="n">
        <x:f>'100 Markets'!A22</x:f>
        <x:v>16</x:v>
      </x:c>
      <x:c r="B22" s="126" t="str">
        <x:f>'100 Markets'!B22</x:f>
        <x:v>Davenport</x:v>
      </x:c>
      <x:c r="C22" s="126" t="str">
        <x:f>'100 Markets'!C22</x:f>
        <x:v>FL</x:v>
      </x:c>
      <x:c r="D22" s="126" t="str">
        <x:f>'100 Markets'!D22</x:f>
        <x:v>Theme parks</x:v>
      </x:c>
      <x:c r="E22" s="127" t="n">
        <x:f>'100 Markets'!E22</x:f>
        <x:v>191</x:v>
      </x:c>
      <x:c r="F22" s="128" t="n">
        <x:f>'100 Markets'!F22</x:f>
        <x:v>0.52</x:v>
      </x:c>
      <x:c r="G22" s="127" t="n">
        <x:f>'100 Markets'!G22</x:f>
        <x:v>39044</x:v>
      </x:c>
      <x:c r="H22" s="129" t="n">
        <x:f>'100 Markets'!I22</x:f>
        <x:v>3653</x:v>
      </x:c>
      <x:c r="I22" s="126" t="str">
        <x:f>'100 Markets'!L22</x:f>
        <x:v>ALTERNATE PROVIDER USED</x:v>
      </x:c>
      <x:c r="J22" s="126" t="str">
        <x:f>'100 Markets'!M22</x:f>
        <x:v>Local review not completed</x:v>
      </x:c>
    </x:row>
    <x:row r="23">
      <x:c r="A23" s="126" t="n">
        <x:f>'100 Markets'!A23</x:f>
        <x:v>17</x:v>
      </x:c>
      <x:c r="B23" s="126" t="str">
        <x:f>'100 Markets'!B23</x:f>
        <x:v>St. Augustine</x:v>
      </x:c>
      <x:c r="C23" s="126" t="str">
        <x:f>'100 Markets'!C23</x:f>
        <x:v>FL</x:v>
      </x:c>
      <x:c r="D23" s="126" t="str">
        <x:f>'100 Markets'!D23</x:f>
        <x:v>Heritage / beach</x:v>
      </x:c>
      <x:c r="E23" s="127" t="n">
        <x:f>'100 Markets'!E23</x:f>
        <x:v>289</x:v>
      </x:c>
      <x:c r="F23" s="128" t="n">
        <x:f>'100 Markets'!F23</x:f>
        <x:v>0.55</x:v>
      </x:c>
      <x:c r="G23" s="127" t="n">
        <x:f>'100 Markets'!G23</x:f>
        <x:v>34500</x:v>
      </x:c>
      <x:c r="H23" s="129" t="n">
        <x:f>'100 Markets'!I23</x:f>
        <x:v>7068</x:v>
      </x:c>
      <x:c r="I23" s="126" t="str">
        <x:f>'100 Markets'!L23</x:f>
        <x:v>Dated vendor benchmark; match property comps</x:v>
      </x:c>
      <x:c r="J23" s="126" t="str">
        <x:f>'100 Markets'!M23</x:f>
        <x:v>Local review not completed</x:v>
      </x:c>
    </x:row>
    <x:row r="24">
      <x:c r="A24" s="126" t="n">
        <x:f>'100 Markets'!A24</x:f>
        <x:v>18</x:v>
      </x:c>
      <x:c r="B24" s="126" t="str">
        <x:f>'100 Markets'!B24</x:f>
        <x:v>Crystal River</x:v>
      </x:c>
      <x:c r="C24" s="126" t="str">
        <x:f>'100 Markets'!C24</x:f>
        <x:v>FL</x:v>
      </x:c>
      <x:c r="D24" s="126" t="str">
        <x:f>'100 Markets'!D24</x:f>
        <x:v>Nature / waterfront</x:v>
      </x:c>
      <x:c r="E24" s="127" t="n">
        <x:f>'100 Markets'!E24</x:f>
        <x:v>231</x:v>
      </x:c>
      <x:c r="F24" s="128" t="n">
        <x:f>'100 Markets'!F24</x:f>
        <x:v>0.5</x:v>
      </x:c>
      <x:c r="G24" s="127" t="n">
        <x:f>'100 Markets'!G24</x:f>
        <x:v>25000</x:v>
      </x:c>
      <x:c r="H24" s="129" t="n">
        <x:f>'100 Markets'!I24</x:f>
        <x:v>625</x:v>
      </x:c>
      <x:c r="I24" s="126" t="str">
        <x:f>'100 Markets'!L24</x:f>
        <x:v>Dated vendor benchmark; match property comps</x:v>
      </x:c>
      <x:c r="J24" s="126" t="str">
        <x:f>'100 Markets'!M24</x:f>
        <x:v>Local review not completed</x:v>
      </x:c>
    </x:row>
    <x:row r="25">
      <x:c r="A25" s="126" t="n">
        <x:f>'100 Markets'!A25</x:f>
        <x:v>19</x:v>
      </x:c>
      <x:c r="B25" s="126" t="str">
        <x:f>'100 Markets'!B25</x:f>
        <x:v>Cape Coral</x:v>
      </x:c>
      <x:c r="C25" s="126" t="str">
        <x:f>'100 Markets'!C25</x:f>
        <x:v>FL</x:v>
      </x:c>
      <x:c r="D25" s="126" t="str">
        <x:f>'100 Markets'!D25</x:f>
        <x:v>Waterfront</x:v>
      </x:c>
      <x:c r="E25" s="127" t="n">
        <x:f>'100 Markets'!E25</x:f>
        <x:v>264</x:v>
      </x:c>
      <x:c r="F25" s="128" t="n">
        <x:f>'100 Markets'!F25</x:f>
        <x:v>0.55</x:v>
      </x:c>
      <x:c r="G25" s="127" t="n">
        <x:f>'100 Markets'!G25</x:f>
        <x:v>23300</x:v>
      </x:c>
      <x:c r="H25" s="129" t="n">
        <x:f>'100 Markets'!I25</x:f>
        <x:v>7842</x:v>
      </x:c>
      <x:c r="I25" s="126" t="str">
        <x:f>'100 Markets'!L25</x:f>
        <x:v>Dated vendor benchmark; match property comps</x:v>
      </x:c>
      <x:c r="J25" s="126" t="str">
        <x:f>'100 Markets'!M25</x:f>
        <x:v>Permit path identified</x:v>
      </x:c>
    </x:row>
    <x:row r="26">
      <x:c r="A26" s="126" t="n">
        <x:f>'100 Markets'!A26</x:f>
        <x:v>20</x:v>
      </x:c>
      <x:c r="B26" s="126" t="str">
        <x:f>'100 Markets'!B26</x:f>
        <x:v>Fort Lauderdale</x:v>
      </x:c>
      <x:c r="C26" s="126" t="str">
        <x:f>'100 Markets'!C26</x:f>
        <x:v>FL</x:v>
      </x:c>
      <x:c r="D26" s="126" t="str">
        <x:f>'100 Markets'!D26</x:f>
        <x:v>Beach / business</x:v>
      </x:c>
      <x:c r="E26" s="127" t="n">
        <x:f>'100 Markets'!E26</x:f>
        <x:v>325</x:v>
      </x:c>
      <x:c r="F26" s="128" t="n">
        <x:f>'100 Markets'!F26</x:f>
        <x:v>0.54</x:v>
      </x:c>
      <x:c r="G26" s="127" t="n">
        <x:f>'100 Markets'!G26</x:f>
        <x:v>33300</x:v>
      </x:c>
      <x:c r="H26" s="129" t="n">
        <x:f>'100 Markets'!I26</x:f>
        <x:v>10758</x:v>
      </x:c>
      <x:c r="I26" s="126" t="str">
        <x:f>'100 Markets'!L26</x:f>
        <x:v>Dated vendor benchmark; match property comps</x:v>
      </x:c>
      <x:c r="J26" s="126" t="str">
        <x:f>'100 Markets'!M26</x:f>
        <x:v>Permit path identified</x:v>
      </x:c>
    </x:row>
    <x:row r="27">
      <x:c r="A27" s="126" t="n">
        <x:f>'100 Markets'!A27</x:f>
        <x:v>21</x:v>
      </x:c>
      <x:c r="B27" s="126" t="str">
        <x:f>'100 Markets'!B27</x:f>
        <x:v>Myrtle Beach</x:v>
      </x:c>
      <x:c r="C27" s="126" t="str">
        <x:f>'100 Markets'!C27</x:f>
        <x:v>SC</x:v>
      </x:c>
      <x:c r="D27" s="126" t="str">
        <x:f>'100 Markets'!D27</x:f>
        <x:v>Beach / golf</x:v>
      </x:c>
      <x:c r="E27" s="127" t="n">
        <x:f>'100 Markets'!E27</x:f>
        <x:v>280</x:v>
      </x:c>
      <x:c r="F27" s="128" t="n">
        <x:f>'100 Markets'!F27</x:f>
        <x:v>0.55</x:v>
      </x:c>
      <x:c r="G27" s="127" t="n">
        <x:f>'100 Markets'!G27</x:f>
        <x:v>43000</x:v>
      </x:c>
      <x:c r="H27" s="129" t="n">
        <x:f>'100 Markets'!I27</x:f>
        <x:v>19014</x:v>
      </x:c>
      <x:c r="I27" s="126" t="str">
        <x:f>'100 Markets'!L27</x:f>
        <x:v>Dated vendor benchmark; match property comps</x:v>
      </x:c>
      <x:c r="J27" s="126" t="str">
        <x:f>'100 Markets'!M27</x:f>
        <x:v>Local review not completed</x:v>
      </x:c>
    </x:row>
    <x:row r="28">
      <x:c r="A28" s="126" t="n">
        <x:f>'100 Markets'!A28</x:f>
        <x:v>22</x:v>
      </x:c>
      <x:c r="B28" s="126" t="str">
        <x:f>'100 Markets'!B28</x:f>
        <x:v>North Myrtle Beach</x:v>
      </x:c>
      <x:c r="C28" s="126" t="str">
        <x:f>'100 Markets'!C28</x:f>
        <x:v>SC</x:v>
      </x:c>
      <x:c r="D28" s="126" t="str">
        <x:f>'100 Markets'!D28</x:f>
        <x:v>Beach / golf</x:v>
      </x:c>
      <x:c r="E28" s="127" t="n">
        <x:f>'100 Markets'!E28</x:f>
        <x:v>374</x:v>
      </x:c>
      <x:c r="F28" s="128" t="n">
        <x:f>'100 Markets'!F28</x:f>
        <x:v>0.55</x:v>
      </x:c>
      <x:c r="G28" s="127" t="n">
        <x:f>'100 Markets'!G28</x:f>
        <x:v>33700</x:v>
      </x:c>
      <x:c r="H28" s="129" t="n">
        <x:f>'100 Markets'!I28</x:f>
        <x:v>9579</x:v>
      </x:c>
      <x:c r="I28" s="126" t="str">
        <x:f>'100 Markets'!L28</x:f>
        <x:v>Dated vendor benchmark; match property comps</x:v>
      </x:c>
      <x:c r="J28" s="126" t="str">
        <x:f>'100 Markets'!M28</x:f>
        <x:v>Local review not completed</x:v>
      </x:c>
    </x:row>
    <x:row r="29">
      <x:c r="A29" s="126" t="n">
        <x:f>'100 Markets'!A29</x:f>
        <x:v>23</x:v>
      </x:c>
      <x:c r="B29" s="126" t="str">
        <x:f>'100 Markets'!B29</x:f>
        <x:v>Hilton Head Island</x:v>
      </x:c>
      <x:c r="C29" s="126" t="str">
        <x:f>'100 Markets'!C29</x:f>
        <x:v>SC</x:v>
      </x:c>
      <x:c r="D29" s="126" t="str">
        <x:f>'100 Markets'!D29</x:f>
        <x:v>Beach / golf</x:v>
      </x:c>
      <x:c r="E29" s="127" t="n">
        <x:f>'100 Markets'!E29</x:f>
        <x:v>422</x:v>
      </x:c>
      <x:c r="F29" s="128" t="n">
        <x:f>'100 Markets'!F29</x:f>
        <x:v>0.59</x:v>
      </x:c>
      <x:c r="G29" s="127" t="n">
        <x:f>'100 Markets'!G29</x:f>
        <x:v>69800</x:v>
      </x:c>
      <x:c r="H29" s="129" t="n">
        <x:f>'100 Markets'!I29</x:f>
        <x:v>7638</x:v>
      </x:c>
      <x:c r="I29" s="126" t="str">
        <x:f>'100 Markets'!L29</x:f>
        <x:v>LARGE SUPPLY CHANGE: CHECK COVERAGE</x:v>
      </x:c>
      <x:c r="J29" s="126" t="str">
        <x:f>'100 Markets'!M29</x:f>
        <x:v>Local review not completed</x:v>
      </x:c>
    </x:row>
    <x:row r="30">
      <x:c r="A30" s="126" t="n">
        <x:f>'100 Markets'!A30</x:f>
        <x:v>24</x:v>
      </x:c>
      <x:c r="B30" s="126" t="str">
        <x:f>'100 Markets'!B30</x:f>
        <x:v>Charleston</x:v>
      </x:c>
      <x:c r="C30" s="126" t="str">
        <x:f>'100 Markets'!C30</x:f>
        <x:v>SC</x:v>
      </x:c>
      <x:c r="D30" s="126" t="str">
        <x:f>'100 Markets'!D30</x:f>
        <x:v>Heritage / business</x:v>
      </x:c>
      <x:c r="E30" s="127" t="n">
        <x:f>'100 Markets'!E30</x:f>
        <x:v>430</x:v>
      </x:c>
      <x:c r="F30" s="128" t="n">
        <x:f>'100 Markets'!F30</x:f>
        <x:v>0.63</x:v>
      </x:c>
      <x:c r="G30" s="127" t="n">
        <x:f>'100 Markets'!G30</x:f>
        <x:v>86100</x:v>
      </x:c>
      <x:c r="H30" s="129" t="n">
        <x:f>'100 Markets'!I30</x:f>
        <x:v>8674</x:v>
      </x:c>
      <x:c r="I30" s="126" t="str">
        <x:f>'100 Markets'!L30</x:f>
        <x:v>LARGE SUPPLY CHANGE: CHECK COVERAGE</x:v>
      </x:c>
      <x:c r="J30" s="126" t="str">
        <x:f>'100 Markets'!M30</x:f>
        <x:v>Restricted / location-dependent</x:v>
      </x:c>
    </x:row>
    <x:row r="31">
      <x:c r="A31" s="126" t="n">
        <x:f>'100 Markets'!A31</x:f>
        <x:v>25</x:v>
      </x:c>
      <x:c r="B31" s="126" t="str">
        <x:f>'100 Markets'!B31</x:f>
        <x:v>Wilmington</x:v>
      </x:c>
      <x:c r="C31" s="126" t="str">
        <x:f>'100 Markets'!C31</x:f>
        <x:v>NC</x:v>
      </x:c>
      <x:c r="D31" s="126" t="str">
        <x:f>'100 Markets'!D31</x:f>
        <x:v>Coastal / business</x:v>
      </x:c>
      <x:c r="E31" s="127" t="n">
        <x:f>'100 Markets'!E31</x:f>
        <x:v>167</x:v>
      </x:c>
      <x:c r="F31" s="128" t="n">
        <x:f>'100 Markets'!F31</x:f>
        <x:v>0.32</x:v>
      </x:c>
      <x:c r="G31" s="127" t="n">
        <x:f>'100 Markets'!G31</x:f>
        <x:v>0</x:v>
      </x:c>
      <x:c r="H31" s="129" t="n">
        <x:f>'100 Markets'!I31</x:f>
        <x:v>791</x:v>
      </x:c>
      <x:c r="I31" s="126" t="str">
        <x:f>'100 Markets'!L31</x:f>
        <x:v>ANNUAL FIGURE IS A PROJECTION; ALTERNATE PROVIDER USED</x:v>
      </x:c>
      <x:c r="J31" s="126" t="str">
        <x:f>'100 Markets'!M31</x:f>
        <x:v>Local review not completed</x:v>
      </x:c>
    </x:row>
    <x:row r="32">
      <x:c r="A32" s="126" t="n">
        <x:f>'100 Markets'!A32</x:f>
        <x:v>26</x:v>
      </x:c>
      <x:c r="B32" s="126" t="str">
        <x:f>'100 Markets'!B32</x:f>
        <x:v>Carolina Beach</x:v>
      </x:c>
      <x:c r="C32" s="126" t="str">
        <x:f>'100 Markets'!C32</x:f>
        <x:v>NC</x:v>
      </x:c>
      <x:c r="D32" s="126" t="str">
        <x:f>'100 Markets'!D32</x:f>
        <x:v>Beach</x:v>
      </x:c>
      <x:c r="E32" s="127" t="n">
        <x:f>'100 Markets'!E32</x:f>
        <x:v>365</x:v>
      </x:c>
      <x:c r="F32" s="128" t="n">
        <x:f>'100 Markets'!F32</x:f>
        <x:v>0.56</x:v>
      </x:c>
      <x:c r="G32" s="127" t="n">
        <x:f>'100 Markets'!G32</x:f>
        <x:v>55400</x:v>
      </x:c>
      <x:c r="H32" s="129" t="n">
        <x:f>'100 Markets'!I32</x:f>
        <x:v>2774</x:v>
      </x:c>
      <x:c r="I32" s="126" t="str">
        <x:f>'100 Markets'!L32</x:f>
        <x:v>Dated vendor benchmark; match property comps</x:v>
      </x:c>
      <x:c r="J32" s="126" t="str">
        <x:f>'100 Markets'!M32</x:f>
        <x:v>Local review not completed</x:v>
      </x:c>
    </x:row>
    <x:row r="33">
      <x:c r="A33" s="126" t="n">
        <x:f>'100 Markets'!A33</x:f>
        <x:v>27</x:v>
      </x:c>
      <x:c r="B33" s="126" t="str">
        <x:f>'100 Markets'!B33</x:f>
        <x:v>Oak Island</x:v>
      </x:c>
      <x:c r="C33" s="126" t="str">
        <x:f>'100 Markets'!C33</x:f>
        <x:v>NC</x:v>
      </x:c>
      <x:c r="D33" s="126" t="str">
        <x:f>'100 Markets'!D33</x:f>
        <x:v>Beach</x:v>
      </x:c>
      <x:c r="E33" s="127" t="n">
        <x:f>'100 Markets'!E33</x:f>
        <x:v>478.5</x:v>
      </x:c>
      <x:c r="F33" s="128" t="n">
        <x:f>'100 Markets'!F33</x:f>
        <x:v>0.54</x:v>
      </x:c>
      <x:c r="G33" s="127" t="n">
        <x:f>'100 Markets'!G33</x:f>
        <x:v>41300</x:v>
      </x:c>
      <x:c r="H33" s="129" t="n">
        <x:f>'100 Markets'!I33</x:f>
        <x:v>2482</x:v>
      </x:c>
      <x:c r="I33" s="126" t="str">
        <x:f>'100 Markets'!L33</x:f>
        <x:v>UNDATED SNAPSHOT</x:v>
      </x:c>
      <x:c r="J33" s="126" t="str">
        <x:f>'100 Markets'!M33</x:f>
        <x:v>Local review not completed</x:v>
      </x:c>
    </x:row>
    <x:row r="34">
      <x:c r="A34" s="126" t="n">
        <x:f>'100 Markets'!A34</x:f>
        <x:v>28</x:v>
      </x:c>
      <x:c r="B34" s="126" t="str">
        <x:f>'100 Markets'!B34</x:f>
        <x:v>Nags Head</x:v>
      </x:c>
      <x:c r="C34" s="126" t="str">
        <x:f>'100 Markets'!C34</x:f>
        <x:v>NC</x:v>
      </x:c>
      <x:c r="D34" s="126" t="str">
        <x:f>'100 Markets'!D34</x:f>
        <x:v>Beach</x:v>
      </x:c>
      <x:c r="E34" s="127" t="n">
        <x:f>'100 Markets'!E34</x:f>
        <x:v>487</x:v>
      </x:c>
      <x:c r="F34" s="128" t="n">
        <x:f>'100 Markets'!F34</x:f>
        <x:v>0.61</x:v>
      </x:c>
      <x:c r="G34" s="127" t="n">
        <x:f>'100 Markets'!G34</x:f>
        <x:v>69200</x:v>
      </x:c>
      <x:c r="H34" s="129" t="n">
        <x:f>'100 Markets'!I34</x:f>
        <x:v>1614</x:v>
      </x:c>
      <x:c r="I34" s="126" t="str">
        <x:f>'100 Markets'!L34</x:f>
        <x:v>Dated vendor benchmark; match property comps</x:v>
      </x:c>
      <x:c r="J34" s="126" t="str">
        <x:f>'100 Markets'!M34</x:f>
        <x:v>Local review not completed</x:v>
      </x:c>
    </x:row>
    <x:row r="35">
      <x:c r="A35" s="126" t="n">
        <x:f>'100 Markets'!A35</x:f>
        <x:v>29</x:v>
      </x:c>
      <x:c r="B35" s="126" t="str">
        <x:f>'100 Markets'!B35</x:f>
        <x:v>Kill Devil Hills</x:v>
      </x:c>
      <x:c r="C35" s="126" t="str">
        <x:f>'100 Markets'!C35</x:f>
        <x:v>NC</x:v>
      </x:c>
      <x:c r="D35" s="126" t="str">
        <x:f>'100 Markets'!D35</x:f>
        <x:v>Beach</x:v>
      </x:c>
      <x:c r="E35" s="127" t="n">
        <x:f>'100 Markets'!E35</x:f>
        <x:v>386</x:v>
      </x:c>
      <x:c r="F35" s="128" t="n">
        <x:f>'100 Markets'!F35</x:f>
        <x:v>0.57</x:v>
      </x:c>
      <x:c r="G35" s="127" t="n">
        <x:f>'100 Markets'!G35</x:f>
        <x:v>34600</x:v>
      </x:c>
      <x:c r="H35" s="129" t="n">
        <x:f>'100 Markets'!I35</x:f>
        <x:v>2192</x:v>
      </x:c>
      <x:c r="I35" s="126" t="str">
        <x:f>'100 Markets'!L35</x:f>
        <x:v>Dated vendor benchmark; match property comps</x:v>
      </x:c>
      <x:c r="J35" s="126" t="str">
        <x:f>'100 Markets'!M35</x:f>
        <x:v>Local review not completed</x:v>
      </x:c>
    </x:row>
    <x:row r="36">
      <x:c r="A36" s="126" t="n">
        <x:f>'100 Markets'!A36</x:f>
        <x:v>30</x:v>
      </x:c>
      <x:c r="B36" s="126" t="str">
        <x:f>'100 Markets'!B36</x:f>
        <x:v>Corolla</x:v>
      </x:c>
      <x:c r="C36" s="126" t="str">
        <x:f>'100 Markets'!C36</x:f>
        <x:v>NC</x:v>
      </x:c>
      <x:c r="D36" s="126" t="str">
        <x:f>'100 Markets'!D36</x:f>
        <x:v>Beach</x:v>
      </x:c>
      <x:c r="E36" s="127" t="n">
        <x:f>'100 Markets'!E36</x:f>
        <x:v>580</x:v>
      </x:c>
      <x:c r="F36" s="128" t="n">
        <x:f>'100 Markets'!F36</x:f>
        <x:v>0.59</x:v>
      </x:c>
      <x:c r="G36" s="127" t="n">
        <x:f>'100 Markets'!G36</x:f>
        <x:v>69700</x:v>
      </x:c>
      <x:c r="H36" s="129" t="n">
        <x:f>'100 Markets'!I36</x:f>
        <x:v>1836</x:v>
      </x:c>
      <x:c r="I36" s="126" t="str">
        <x:f>'100 Markets'!L36</x:f>
        <x:v>LARGE SUPPLY CHANGE: CHECK COVERAGE</x:v>
      </x:c>
      <x:c r="J36" s="126" t="str">
        <x:f>'100 Markets'!M36</x:f>
        <x:v>Local review not completed</x:v>
      </x:c>
    </x:row>
    <x:row r="37">
      <x:c r="A37" s="126" t="n">
        <x:f>'100 Markets'!A37</x:f>
        <x:v>31</x:v>
      </x:c>
      <x:c r="B37" s="126" t="str">
        <x:f>'100 Markets'!B37</x:f>
        <x:v>Boone</x:v>
      </x:c>
      <x:c r="C37" s="126" t="str">
        <x:f>'100 Markets'!C37</x:f>
        <x:v>NC</x:v>
      </x:c>
      <x:c r="D37" s="126" t="str">
        <x:f>'100 Markets'!D37</x:f>
        <x:v>Mountain / college</x:v>
      </x:c>
      <x:c r="E37" s="127" t="n">
        <x:f>'100 Markets'!E37</x:f>
        <x:v>336</x:v>
      </x:c>
      <x:c r="F37" s="128" t="n">
        <x:f>'100 Markets'!F37</x:f>
        <x:v>0.47</x:v>
      </x:c>
      <x:c r="G37" s="127" t="n">
        <x:f>'100 Markets'!G37</x:f>
        <x:v>35900</x:v>
      </x:c>
      <x:c r="H37" s="129" t="n">
        <x:f>'100 Markets'!I37</x:f>
        <x:v>950</x:v>
      </x:c>
      <x:c r="I37" s="126" t="str">
        <x:f>'100 Markets'!L37</x:f>
        <x:v>Dated vendor benchmark; match property comps</x:v>
      </x:c>
      <x:c r="J37" s="126" t="str">
        <x:f>'100 Markets'!M37</x:f>
        <x:v>Local review not completed</x:v>
      </x:c>
    </x:row>
    <x:row r="38">
      <x:c r="A38" s="126" t="n">
        <x:f>'100 Markets'!A38</x:f>
        <x:v>32</x:v>
      </x:c>
      <x:c r="B38" s="126" t="str">
        <x:f>'100 Markets'!B38</x:f>
        <x:v>Banner Elk</x:v>
      </x:c>
      <x:c r="C38" s="126" t="str">
        <x:f>'100 Markets'!C38</x:f>
        <x:v>NC</x:v>
      </x:c>
      <x:c r="D38" s="126" t="str">
        <x:f>'100 Markets'!D38</x:f>
        <x:v>Mountain / ski</x:v>
      </x:c>
      <x:c r="E38" s="127" t="n">
        <x:f>'100 Markets'!E38</x:f>
        <x:v>342</x:v>
      </x:c>
      <x:c r="F38" s="128" t="n">
        <x:f>'100 Markets'!F38</x:f>
        <x:v>0.41</x:v>
      </x:c>
      <x:c r="G38" s="127" t="n">
        <x:f>'100 Markets'!G38</x:f>
        <x:v>26800</x:v>
      </x:c>
      <x:c r="H38" s="129" t="n">
        <x:f>'100 Markets'!I38</x:f>
        <x:v>3222</x:v>
      </x:c>
      <x:c r="I38" s="126" t="str">
        <x:f>'100 Markets'!L38</x:f>
        <x:v>Dated vendor benchmark; match property comps</x:v>
      </x:c>
      <x:c r="J38" s="126" t="str">
        <x:f>'100 Markets'!M38</x:f>
        <x:v>Local review not completed</x:v>
      </x:c>
    </x:row>
    <x:row r="39">
      <x:c r="A39" s="126" t="n">
        <x:f>'100 Markets'!A39</x:f>
        <x:v>33</x:v>
      </x:c>
      <x:c r="B39" s="126" t="str">
        <x:f>'100 Markets'!B39</x:f>
        <x:v>Bryson City</x:v>
      </x:c>
      <x:c r="C39" s="126" t="str">
        <x:f>'100 Markets'!C39</x:f>
        <x:v>NC</x:v>
      </x:c>
      <x:c r="D39" s="126" t="str">
        <x:f>'100 Markets'!D39</x:f>
        <x:v>National park gateway</x:v>
      </x:c>
      <x:c r="E39" s="127" t="n">
        <x:f>'100 Markets'!E39</x:f>
        <x:v>252</x:v>
      </x:c>
      <x:c r="F39" s="128" t="n">
        <x:f>'100 Markets'!F39</x:f>
        <x:v>0.49</x:v>
      </x:c>
      <x:c r="G39" s="127" t="n">
        <x:f>'100 Markets'!G39</x:f>
        <x:v>31200</x:v>
      </x:c>
      <x:c r="H39" s="129" t="n">
        <x:f>'100 Markets'!I39</x:f>
        <x:v>1417</x:v>
      </x:c>
      <x:c r="I39" s="126" t="str">
        <x:f>'100 Markets'!L39</x:f>
        <x:v>Dated vendor benchmark; match property comps</x:v>
      </x:c>
      <x:c r="J39" s="126" t="str">
        <x:f>'100 Markets'!M39</x:f>
        <x:v>Local review not completed</x:v>
      </x:c>
    </x:row>
    <x:row r="40">
      <x:c r="A40" s="126" t="n">
        <x:f>'100 Markets'!A40</x:f>
        <x:v>34</x:v>
      </x:c>
      <x:c r="B40" s="126" t="str">
        <x:f>'100 Markets'!B40</x:f>
        <x:v>Asheville</x:v>
      </x:c>
      <x:c r="C40" s="126" t="str">
        <x:f>'100 Markets'!C40</x:f>
        <x:v>NC</x:v>
      </x:c>
      <x:c r="D40" s="126" t="str">
        <x:f>'100 Markets'!D40</x:f>
        <x:v>Mountain / urban</x:v>
      </x:c>
      <x:c r="E40" s="127" t="n">
        <x:f>'100 Markets'!E40</x:f>
        <x:v>227</x:v>
      </x:c>
      <x:c r="F40" s="128" t="n">
        <x:f>'100 Markets'!F40</x:f>
        <x:v>0.56</x:v>
      </x:c>
      <x:c r="G40" s="127" t="n">
        <x:f>'100 Markets'!G40</x:f>
        <x:v>28500</x:v>
      </x:c>
      <x:c r="H40" s="129" t="n">
        <x:f>'100 Markets'!I40</x:f>
        <x:v>3072</x:v>
      </x:c>
      <x:c r="I40" s="126" t="str">
        <x:f>'100 Markets'!L40</x:f>
        <x:v>Dated vendor benchmark; match property comps</x:v>
      </x:c>
      <x:c r="J40" s="126" t="str">
        <x:f>'100 Markets'!M40</x:f>
        <x:v>Restricted / location-dependent</x:v>
      </x:c>
    </x:row>
    <x:row r="41">
      <x:c r="A41" s="126" t="n">
        <x:f>'100 Markets'!A41</x:f>
        <x:v>35</x:v>
      </x:c>
      <x:c r="B41" s="126" t="str">
        <x:f>'100 Markets'!B41</x:f>
        <x:v>Luray</x:v>
      </x:c>
      <x:c r="C41" s="126" t="str">
        <x:f>'100 Markets'!C41</x:f>
        <x:v>VA</x:v>
      </x:c>
      <x:c r="D41" s="126" t="str">
        <x:f>'100 Markets'!D41</x:f>
        <x:v>National park gateway</x:v>
      </x:c>
      <x:c r="E41" s="127" t="n">
        <x:f>'100 Markets'!E41</x:f>
        <x:v>270.9</x:v>
      </x:c>
      <x:c r="F41" s="128" t="n">
        <x:f>'100 Markets'!F41</x:f>
        <x:v>0.46</x:v>
      </x:c>
      <x:c r="G41" s="127" t="n">
        <x:f>'100 Markets'!G41</x:f>
        <x:v>33900</x:v>
      </x:c>
      <x:c r="H41" s="129" t="n">
        <x:f>'100 Markets'!I41</x:f>
        <x:v>565</x:v>
      </x:c>
      <x:c r="I41" s="126" t="str">
        <x:f>'100 Markets'!L41</x:f>
        <x:v>UNDATED SNAPSHOT</x:v>
      </x:c>
      <x:c r="J41" s="126" t="str">
        <x:f>'100 Markets'!M41</x:f>
        <x:v>Local review not completed</x:v>
      </x:c>
    </x:row>
    <x:row r="42">
      <x:c r="A42" s="126" t="n">
        <x:f>'100 Markets'!A42</x:f>
        <x:v>36</x:v>
      </x:c>
      <x:c r="B42" s="126" t="str">
        <x:f>'100 Markets'!B42</x:f>
        <x:v>Front Royal</x:v>
      </x:c>
      <x:c r="C42" s="126" t="str">
        <x:f>'100 Markets'!C42</x:f>
        <x:v>VA</x:v>
      </x:c>
      <x:c r="D42" s="126" t="str">
        <x:f>'100 Markets'!D42</x:f>
        <x:v>National park gateway</x:v>
      </x:c>
      <x:c r="E42" s="127" t="n">
        <x:f>'100 Markets'!E42</x:f>
        <x:v>268</x:v>
      </x:c>
      <x:c r="F42" s="128" t="n">
        <x:f>'100 Markets'!F42</x:f>
        <x:v>0.47</x:v>
      </x:c>
      <x:c r="G42" s="127" t="n">
        <x:f>'100 Markets'!G42</x:f>
        <x:v>33500</x:v>
      </x:c>
      <x:c r="H42" s="129" t="n">
        <x:f>'100 Markets'!I42</x:f>
        <x:v>237</x:v>
      </x:c>
      <x:c r="I42" s="126" t="str">
        <x:f>'100 Markets'!L42</x:f>
        <x:v>Dated vendor benchmark; match property comps</x:v>
      </x:c>
      <x:c r="J42" s="126" t="str">
        <x:f>'100 Markets'!M42</x:f>
        <x:v>Local review not completed</x:v>
      </x:c>
    </x:row>
    <x:row r="43">
      <x:c r="A43" s="126" t="n">
        <x:f>'100 Markets'!A43</x:f>
        <x:v>37</x:v>
      </x:c>
      <x:c r="B43" s="126" t="str">
        <x:f>'100 Markets'!B43</x:f>
        <x:v>Massanutten</x:v>
      </x:c>
      <x:c r="C43" s="126" t="str">
        <x:f>'100 Markets'!C43</x:f>
        <x:v>VA</x:v>
      </x:c>
      <x:c r="D43" s="126" t="str">
        <x:f>'100 Markets'!D43</x:f>
        <x:v>Mountain resort</x:v>
      </x:c>
      <x:c r="E43" s="127" t="n">
        <x:f>'100 Markets'!E43</x:f>
        <x:v>0</x:v>
      </x:c>
      <x:c r="F43" s="128" t="n">
        <x:f>'100 Markets'!F43</x:f>
        <x:v>0</x:v>
      </x:c>
      <x:c r="G43" s="127" t="n">
        <x:f>'100 Markets'!G43</x:f>
        <x:v>0</x:v>
      </x:c>
      <x:c r="H43" s="129" t="n">
        <x:f>'100 Markets'!I43</x:f>
        <x:v>0</x:v>
      </x:c>
      <x:c r="I43" s="126" t="str">
        <x:f>'100 Markets'!L43</x:f>
        <x:v>NO STR BENCHMARK</x:v>
      </x:c>
      <x:c r="J43" s="126" t="str">
        <x:f>'100 Markets'!M43</x:f>
        <x:v>Local review not completed</x:v>
      </x:c>
    </x:row>
    <x:row r="44">
      <x:c r="A44" s="126" t="n">
        <x:f>'100 Markets'!A44</x:f>
        <x:v>38</x:v>
      </x:c>
      <x:c r="B44" s="126" t="str">
        <x:f>'100 Markets'!B44</x:f>
        <x:v>Stowe</x:v>
      </x:c>
      <x:c r="C44" s="126" t="str">
        <x:f>'100 Markets'!C44</x:f>
        <x:v>VT</x:v>
      </x:c>
      <x:c r="D44" s="126" t="str">
        <x:f>'100 Markets'!D44</x:f>
        <x:v>Mountain / ski</x:v>
      </x:c>
      <x:c r="E44" s="127" t="n">
        <x:f>'100 Markets'!E44</x:f>
        <x:v>595</x:v>
      </x:c>
      <x:c r="F44" s="128" t="n">
        <x:f>'100 Markets'!F44</x:f>
        <x:v>0.44</x:v>
      </x:c>
      <x:c r="G44" s="127" t="n">
        <x:f>'100 Markets'!G44</x:f>
        <x:v>43500</x:v>
      </x:c>
      <x:c r="H44" s="129" t="n">
        <x:f>'100 Markets'!I44</x:f>
        <x:v>1488</x:v>
      </x:c>
      <x:c r="I44" s="126" t="str">
        <x:f>'100 Markets'!L44</x:f>
        <x:v>UNDATED SNAPSHOT</x:v>
      </x:c>
      <x:c r="J44" s="126" t="str">
        <x:f>'100 Markets'!M44</x:f>
        <x:v>Local review not completed</x:v>
      </x:c>
    </x:row>
    <x:row r="45">
      <x:c r="A45" s="126" t="n">
        <x:f>'100 Markets'!A45</x:f>
        <x:v>39</x:v>
      </x:c>
      <x:c r="B45" s="126" t="str">
        <x:f>'100 Markets'!B45</x:f>
        <x:v>Tobyhanna</x:v>
      </x:c>
      <x:c r="C45" s="126" t="str">
        <x:f>'100 Markets'!C45</x:f>
        <x:v>PA</x:v>
      </x:c>
      <x:c r="D45" s="126" t="str">
        <x:f>'100 Markets'!D45</x:f>
        <x:v>Lake / cabin</x:v>
      </x:c>
      <x:c r="E45" s="127" t="n">
        <x:f>'100 Markets'!E45</x:f>
        <x:v>387</x:v>
      </x:c>
      <x:c r="F45" s="128" t="n">
        <x:f>'100 Markets'!F45</x:f>
        <x:v>0.39</x:v>
      </x:c>
      <x:c r="G45" s="127" t="n">
        <x:f>'100 Markets'!G45</x:f>
        <x:v>31600</x:v>
      </x:c>
      <x:c r="H45" s="129" t="n">
        <x:f>'100 Markets'!I45</x:f>
        <x:v>1030</x:v>
      </x:c>
      <x:c r="I45" s="126" t="str">
        <x:f>'100 Markets'!L45</x:f>
        <x:v>Dated vendor benchmark; match property comps</x:v>
      </x:c>
      <x:c r="J45" s="126" t="str">
        <x:f>'100 Markets'!M45</x:f>
        <x:v>Local review not completed</x:v>
      </x:c>
    </x:row>
    <x:row r="46">
      <x:c r="A46" s="126" t="n">
        <x:f>'100 Markets'!A46</x:f>
        <x:v>40</x:v>
      </x:c>
      <x:c r="B46" s="126" t="str">
        <x:f>'100 Markets'!B46</x:f>
        <x:v>Pocono Pines</x:v>
      </x:c>
      <x:c r="C46" s="126" t="str">
        <x:f>'100 Markets'!C46</x:f>
        <x:v>PA</x:v>
      </x:c>
      <x:c r="D46" s="126" t="str">
        <x:f>'100 Markets'!D46</x:f>
        <x:v>Lake / cabin</x:v>
      </x:c>
      <x:c r="E46" s="127" t="n">
        <x:f>'100 Markets'!E46</x:f>
        <x:v>400</x:v>
      </x:c>
      <x:c r="F46" s="128" t="n">
        <x:f>'100 Markets'!F46</x:f>
        <x:v>0.38</x:v>
      </x:c>
      <x:c r="G46" s="127" t="n">
        <x:f>'100 Markets'!G46</x:f>
        <x:v>28300</x:v>
      </x:c>
      <x:c r="H46" s="129" t="n">
        <x:f>'100 Markets'!I46</x:f>
        <x:v>295</x:v>
      </x:c>
      <x:c r="I46" s="126" t="str">
        <x:f>'100 Markets'!L46</x:f>
        <x:v>Dated vendor benchmark; match property comps</x:v>
      </x:c>
      <x:c r="J46" s="126" t="str">
        <x:f>'100 Markets'!M46</x:f>
        <x:v>Local review not completed</x:v>
      </x:c>
    </x:row>
    <x:row r="47">
      <x:c r="A47" s="126" t="n">
        <x:f>'100 Markets'!A47</x:f>
        <x:v>41</x:v>
      </x:c>
      <x:c r="B47" s="126" t="str">
        <x:f>'100 Markets'!B47</x:f>
        <x:v>Jim Thorpe</x:v>
      </x:c>
      <x:c r="C47" s="126" t="str">
        <x:f>'100 Markets'!C47</x:f>
        <x:v>PA</x:v>
      </x:c>
      <x:c r="D47" s="126" t="str">
        <x:f>'100 Markets'!D47</x:f>
        <x:v>Heritage / outdoor</x:v>
      </x:c>
      <x:c r="E47" s="127" t="n">
        <x:f>'100 Markets'!E47</x:f>
        <x:v>308.1</x:v>
      </x:c>
      <x:c r="F47" s="128" t="n">
        <x:f>'100 Markets'!F47</x:f>
        <x:v>0.44</x:v>
      </x:c>
      <x:c r="G47" s="127" t="n">
        <x:f>'100 Markets'!G47</x:f>
        <x:v>36200</x:v>
      </x:c>
      <x:c r="H47" s="129" t="n">
        <x:f>'100 Markets'!I47</x:f>
        <x:v>249</x:v>
      </x:c>
      <x:c r="I47" s="126" t="str">
        <x:f>'100 Markets'!L47</x:f>
        <x:v>UNDATED SNAPSHOT</x:v>
      </x:c>
      <x:c r="J47" s="126" t="str">
        <x:f>'100 Markets'!M47</x:f>
        <x:v>Local review not completed</x:v>
      </x:c>
    </x:row>
    <x:row r="48">
      <x:c r="A48" s="126" t="n">
        <x:f>'100 Markets'!A48</x:f>
        <x:v>42</x:v>
      </x:c>
      <x:c r="B48" s="126" t="str">
        <x:f>'100 Markets'!B48</x:f>
        <x:v>Lake Harmony</x:v>
      </x:c>
      <x:c r="C48" s="126" t="str">
        <x:f>'100 Markets'!C48</x:f>
        <x:v>PA</x:v>
      </x:c>
      <x:c r="D48" s="126" t="str">
        <x:f>'100 Markets'!D48</x:f>
        <x:v>Lake / ski</x:v>
      </x:c>
      <x:c r="E48" s="127" t="n">
        <x:f>'100 Markets'!E48</x:f>
        <x:v>570.6</x:v>
      </x:c>
      <x:c r="F48" s="128" t="n">
        <x:f>'100 Markets'!F48</x:f>
        <x:v>0.38</x:v>
      </x:c>
      <x:c r="G48" s="127" t="n">
        <x:f>'100 Markets'!G48</x:f>
        <x:v>49500</x:v>
      </x:c>
      <x:c r="H48" s="129" t="n">
        <x:f>'100 Markets'!I48</x:f>
        <x:v>744</x:v>
      </x:c>
      <x:c r="I48" s="126" t="str">
        <x:f>'100 Markets'!L48</x:f>
        <x:v>UNDATED SNAPSHOT</x:v>
      </x:c>
      <x:c r="J48" s="126" t="str">
        <x:f>'100 Markets'!M48</x:f>
        <x:v>Local review not completed</x:v>
      </x:c>
    </x:row>
    <x:row r="49">
      <x:c r="A49" s="126" t="n">
        <x:f>'100 Markets'!A49</x:f>
        <x:v>43</x:v>
      </x:c>
      <x:c r="B49" s="126" t="str">
        <x:f>'100 Markets'!B49</x:f>
        <x:v>Lancaster</x:v>
      </x:c>
      <x:c r="C49" s="126" t="str">
        <x:f>'100 Markets'!C49</x:f>
        <x:v>PA</x:v>
      </x:c>
      <x:c r="D49" s="126" t="str">
        <x:f>'100 Markets'!D49</x:f>
        <x:v>Heritage / leisure</x:v>
      </x:c>
      <x:c r="E49" s="127" t="n">
        <x:f>'100 Markets'!E49</x:f>
        <x:v>206</x:v>
      </x:c>
      <x:c r="F49" s="128" t="n">
        <x:f>'100 Markets'!F49</x:f>
        <x:v>0.56</x:v>
      </x:c>
      <x:c r="G49" s="127" t="n">
        <x:f>'100 Markets'!G49</x:f>
        <x:v>38500</x:v>
      </x:c>
      <x:c r="H49" s="129" t="n">
        <x:f>'100 Markets'!I49</x:f>
        <x:v>1484</x:v>
      </x:c>
      <x:c r="I49" s="126" t="str">
        <x:f>'100 Markets'!L49</x:f>
        <x:v>LARGE SUPPLY CHANGE: CHECK COVERAGE</x:v>
      </x:c>
      <x:c r="J49" s="126" t="str">
        <x:f>'100 Markets'!M49</x:f>
        <x:v>Local review not completed</x:v>
      </x:c>
    </x:row>
    <x:row r="50">
      <x:c r="A50" s="126" t="n">
        <x:f>'100 Markets'!A50</x:f>
        <x:v>44</x:v>
      </x:c>
      <x:c r="B50" s="126" t="str">
        <x:f>'100 Markets'!B50</x:f>
        <x:v>Gettysburg</x:v>
      </x:c>
      <x:c r="C50" s="126" t="str">
        <x:f>'100 Markets'!C50</x:f>
        <x:v>PA</x:v>
      </x:c>
      <x:c r="D50" s="126" t="str">
        <x:f>'100 Markets'!D50</x:f>
        <x:v>Heritage / college</x:v>
      </x:c>
      <x:c r="E50" s="127" t="n">
        <x:f>'100 Markets'!E50</x:f>
        <x:v>231.6</x:v>
      </x:c>
      <x:c r="F50" s="128" t="n">
        <x:f>'100 Markets'!F50</x:f>
        <x:v>0.48</x:v>
      </x:c>
      <x:c r="G50" s="127" t="n">
        <x:f>'100 Markets'!G50</x:f>
        <x:v>27500</x:v>
      </x:c>
      <x:c r="H50" s="129" t="n">
        <x:f>'100 Markets'!I50</x:f>
        <x:v>222</x:v>
      </x:c>
      <x:c r="I50" s="126" t="str">
        <x:f>'100 Markets'!L50</x:f>
        <x:v>UNDATED SNAPSHOT</x:v>
      </x:c>
      <x:c r="J50" s="126" t="str">
        <x:f>'100 Markets'!M50</x:f>
        <x:v>Local review not completed</x:v>
      </x:c>
    </x:row>
    <x:row r="51">
      <x:c r="A51" s="126" t="n">
        <x:f>'100 Markets'!A51</x:f>
        <x:v>45</x:v>
      </x:c>
      <x:c r="B51" s="126" t="str">
        <x:f>'100 Markets'!B51</x:f>
        <x:v>Logan</x:v>
      </x:c>
      <x:c r="C51" s="126" t="str">
        <x:f>'100 Markets'!C51</x:f>
        <x:v>OH</x:v>
      </x:c>
      <x:c r="D51" s="126" t="str">
        <x:f>'100 Markets'!D51</x:f>
        <x:v>State park gateway</x:v>
      </x:c>
      <x:c r="E51" s="127" t="n">
        <x:f>'100 Markets'!E51</x:f>
        <x:v>388</x:v>
      </x:c>
      <x:c r="F51" s="128" t="n">
        <x:f>'100 Markets'!F51</x:f>
        <x:v>0.51</x:v>
      </x:c>
      <x:c r="G51" s="127" t="n">
        <x:f>'100 Markets'!G51</x:f>
        <x:v>66900</x:v>
      </x:c>
      <x:c r="H51" s="129" t="n">
        <x:f>'100 Markets'!I51</x:f>
        <x:v>1481</x:v>
      </x:c>
      <x:c r="I51" s="126" t="str">
        <x:f>'100 Markets'!L51</x:f>
        <x:v>LARGE SUPPLY CHANGE: CHECK COVERAGE</x:v>
      </x:c>
      <x:c r="J51" s="126" t="str">
        <x:f>'100 Markets'!M51</x:f>
        <x:v>Local review not completed</x:v>
      </x:c>
    </x:row>
    <x:row r="52">
      <x:c r="A52" s="126" t="n">
        <x:f>'100 Markets'!A52</x:f>
        <x:v>46</x:v>
      </x:c>
      <x:c r="B52" s="126" t="str">
        <x:f>'100 Markets'!B52</x:f>
        <x:v>Sandusky</x:v>
      </x:c>
      <x:c r="C52" s="126" t="str">
        <x:f>'100 Markets'!C52</x:f>
        <x:v>OH</x:v>
      </x:c>
      <x:c r="D52" s="126" t="str">
        <x:f>'100 Markets'!D52</x:f>
        <x:v>Lake / entertainment</x:v>
      </x:c>
      <x:c r="E52" s="127" t="n">
        <x:f>'100 Markets'!E52</x:f>
        <x:v>313.4</x:v>
      </x:c>
      <x:c r="F52" s="128" t="n">
        <x:f>'100 Markets'!F52</x:f>
        <x:v>0.43</x:v>
      </x:c>
      <x:c r="G52" s="127" t="n">
        <x:f>'100 Markets'!G52</x:f>
        <x:v>24300</x:v>
      </x:c>
      <x:c r="H52" s="129" t="n">
        <x:f>'100 Markets'!I52</x:f>
        <x:v>573</x:v>
      </x:c>
      <x:c r="I52" s="126" t="str">
        <x:f>'100 Markets'!L52</x:f>
        <x:v>UNDATED SNAPSHOT</x:v>
      </x:c>
      <x:c r="J52" s="126" t="str">
        <x:f>'100 Markets'!M52</x:f>
        <x:v>Local review not completed</x:v>
      </x:c>
    </x:row>
    <x:row r="53">
      <x:c r="A53" s="126" t="n">
        <x:f>'100 Markets'!A53</x:f>
        <x:v>47</x:v>
      </x:c>
      <x:c r="B53" s="126" t="str">
        <x:f>'100 Markets'!B53</x:f>
        <x:v>Traverse City</x:v>
      </x:c>
      <x:c r="C53" s="126" t="str">
        <x:f>'100 Markets'!C53</x:f>
        <x:v>MI</x:v>
      </x:c>
      <x:c r="D53" s="126" t="str">
        <x:f>'100 Markets'!D53</x:f>
        <x:v>Lake / wine</x:v>
      </x:c>
      <x:c r="E53" s="127" t="n">
        <x:f>'100 Markets'!E53</x:f>
        <x:v>380</x:v>
      </x:c>
      <x:c r="F53" s="128" t="n">
        <x:f>'100 Markets'!F53</x:f>
        <x:v>0.53</x:v>
      </x:c>
      <x:c r="G53" s="127" t="n">
        <x:f>'100 Markets'!G53</x:f>
        <x:v>51300</x:v>
      </x:c>
      <x:c r="H53" s="129" t="n">
        <x:f>'100 Markets'!I53</x:f>
        <x:v>4422</x:v>
      </x:c>
      <x:c r="I53" s="126" t="str">
        <x:f>'100 Markets'!L53</x:f>
        <x:v>LARGE SUPPLY CHANGE: CHECK COVERAGE</x:v>
      </x:c>
      <x:c r="J53" s="126" t="str">
        <x:f>'100 Markets'!M53</x:f>
        <x:v>Local review not completed</x:v>
      </x:c>
    </x:row>
    <x:row r="54">
      <x:c r="A54" s="126" t="n">
        <x:f>'100 Markets'!A54</x:f>
        <x:v>48</x:v>
      </x:c>
      <x:c r="B54" s="126" t="str">
        <x:f>'100 Markets'!B54</x:f>
        <x:v>New Buffalo</x:v>
      </x:c>
      <x:c r="C54" s="126" t="str">
        <x:f>'100 Markets'!C54</x:f>
        <x:v>MI</x:v>
      </x:c>
      <x:c r="D54" s="126" t="str">
        <x:f>'100 Markets'!D54</x:f>
        <x:v>Lake / drive-to</x:v>
      </x:c>
      <x:c r="E54" s="127" t="n">
        <x:f>'100 Markets'!E54</x:f>
        <x:v>719</x:v>
      </x:c>
      <x:c r="F54" s="128" t="n">
        <x:f>'100 Markets'!F54</x:f>
        <x:v>0.48</x:v>
      </x:c>
      <x:c r="G54" s="127" t="n">
        <x:f>'100 Markets'!G54</x:f>
        <x:v>48700</x:v>
      </x:c>
      <x:c r="H54" s="129" t="n">
        <x:f>'100 Markets'!I54</x:f>
        <x:v>529</x:v>
      </x:c>
      <x:c r="I54" s="126" t="str">
        <x:f>'100 Markets'!L54</x:f>
        <x:v>Dated vendor benchmark; match property comps</x:v>
      </x:c>
      <x:c r="J54" s="126" t="str">
        <x:f>'100 Markets'!M54</x:f>
        <x:v>Restricted / location-dependent</x:v>
      </x:c>
    </x:row>
    <x:row r="55">
      <x:c r="A55" s="126" t="n">
        <x:f>'100 Markets'!A55</x:f>
        <x:v>49</x:v>
      </x:c>
      <x:c r="B55" s="126" t="str">
        <x:f>'100 Markets'!B55</x:f>
        <x:v>Wisconsin Dells</x:v>
      </x:c>
      <x:c r="C55" s="126" t="str">
        <x:f>'100 Markets'!C55</x:f>
        <x:v>WI</x:v>
      </x:c>
      <x:c r="D55" s="126" t="str">
        <x:f>'100 Markets'!D55</x:f>
        <x:v>Family entertainment</x:v>
      </x:c>
      <x:c r="E55" s="127" t="n">
        <x:f>'100 Markets'!E55</x:f>
        <x:v>339</x:v>
      </x:c>
      <x:c r="F55" s="128" t="n">
        <x:f>'100 Markets'!F55</x:f>
        <x:v>0.45</x:v>
      </x:c>
      <x:c r="G55" s="127" t="n">
        <x:f>'100 Markets'!G55</x:f>
        <x:v>46900</x:v>
      </x:c>
      <x:c r="H55" s="129" t="n">
        <x:f>'100 Markets'!I55</x:f>
        <x:v>1350</x:v>
      </x:c>
      <x:c r="I55" s="126" t="str">
        <x:f>'100 Markets'!L55</x:f>
        <x:v>Dated vendor benchmark; match property comps</x:v>
      </x:c>
      <x:c r="J55" s="126" t="str">
        <x:f>'100 Markets'!M55</x:f>
        <x:v>Local review not completed</x:v>
      </x:c>
    </x:row>
    <x:row r="56">
      <x:c r="A56" s="126" t="n">
        <x:f>'100 Markets'!A56</x:f>
        <x:v>50</x:v>
      </x:c>
      <x:c r="B56" s="126" t="str">
        <x:f>'100 Markets'!B56</x:f>
        <x:v>Lake Geneva</x:v>
      </x:c>
      <x:c r="C56" s="126" t="str">
        <x:f>'100 Markets'!C56</x:f>
        <x:v>WI</x:v>
      </x:c>
      <x:c r="D56" s="126" t="str">
        <x:f>'100 Markets'!D56</x:f>
        <x:v>Lake / drive-to</x:v>
      </x:c>
      <x:c r="E56" s="127" t="n">
        <x:f>'100 Markets'!E56</x:f>
        <x:v>492.7</x:v>
      </x:c>
      <x:c r="F56" s="128" t="n">
        <x:f>'100 Markets'!F56</x:f>
        <x:v>0.46</x:v>
      </x:c>
      <x:c r="G56" s="127" t="n">
        <x:f>'100 Markets'!G56</x:f>
        <x:v>45100</x:v>
      </x:c>
      <x:c r="H56" s="129" t="n">
        <x:f>'100 Markets'!I56</x:f>
        <x:v>511</x:v>
      </x:c>
      <x:c r="I56" s="126" t="str">
        <x:f>'100 Markets'!L56</x:f>
        <x:v>UNDATED SNAPSHOT</x:v>
      </x:c>
      <x:c r="J56" s="126" t="str">
        <x:f>'100 Markets'!M56</x:f>
        <x:v>Local review not completed</x:v>
      </x:c>
    </x:row>
    <x:row r="57">
      <x:c r="A57" s="126" t="n">
        <x:f>'100 Markets'!A57</x:f>
        <x:v>51</x:v>
      </x:c>
      <x:c r="B57" s="126" t="str">
        <x:f>'100 Markets'!B57</x:f>
        <x:v>Osage Beach</x:v>
      </x:c>
      <x:c r="C57" s="126" t="str">
        <x:f>'100 Markets'!C57</x:f>
        <x:v>MO</x:v>
      </x:c>
      <x:c r="D57" s="126" t="str">
        <x:f>'100 Markets'!D57</x:f>
        <x:v>Lake</x:v>
      </x:c>
      <x:c r="E57" s="127" t="n">
        <x:f>'100 Markets'!E57</x:f>
        <x:v>350</x:v>
      </x:c>
      <x:c r="F57" s="128" t="n">
        <x:f>'100 Markets'!F57</x:f>
        <x:v>0.43</x:v>
      </x:c>
      <x:c r="G57" s="127" t="n">
        <x:f>'100 Markets'!G57</x:f>
        <x:v>21700</x:v>
      </x:c>
      <x:c r="H57" s="129" t="n">
        <x:f>'100 Markets'!I57</x:f>
        <x:v>1918</x:v>
      </x:c>
      <x:c r="I57" s="126" t="str">
        <x:f>'100 Markets'!L57</x:f>
        <x:v>Dated vendor benchmark; match property comps</x:v>
      </x:c>
      <x:c r="J57" s="126" t="str">
        <x:f>'100 Markets'!M57</x:f>
        <x:v>Local review not completed</x:v>
      </x:c>
    </x:row>
    <x:row r="58">
      <x:c r="A58" s="126" t="n">
        <x:f>'100 Markets'!A58</x:f>
        <x:v>52</x:v>
      </x:c>
      <x:c r="B58" s="126" t="str">
        <x:f>'100 Markets'!B58</x:f>
        <x:v>Eureka Springs</x:v>
      </x:c>
      <x:c r="C58" s="126" t="str">
        <x:f>'100 Markets'!C58</x:f>
        <x:v>AR</x:v>
      </x:c>
      <x:c r="D58" s="126" t="str">
        <x:f>'100 Markets'!D58</x:f>
        <x:v>Heritage / outdoor</x:v>
      </x:c>
      <x:c r="E58" s="127" t="n">
        <x:f>'100 Markets'!E58</x:f>
        <x:v>208</x:v>
      </x:c>
      <x:c r="F58" s="128" t="n">
        <x:f>'100 Markets'!F58</x:f>
        <x:v>0.44</x:v>
      </x:c>
      <x:c r="G58" s="127" t="n">
        <x:f>'100 Markets'!G58</x:f>
        <x:v>24300</x:v>
      </x:c>
      <x:c r="H58" s="129" t="n">
        <x:f>'100 Markets'!I58</x:f>
        <x:v>1369</x:v>
      </x:c>
      <x:c r="I58" s="126" t="str">
        <x:f>'100 Markets'!L58</x:f>
        <x:v>Dated vendor benchmark; match property comps</x:v>
      </x:c>
      <x:c r="J58" s="126" t="str">
        <x:f>'100 Markets'!M58</x:f>
        <x:v>Local review not completed</x:v>
      </x:c>
    </x:row>
    <x:row r="59">
      <x:c r="A59" s="126" t="n">
        <x:f>'100 Markets'!A59</x:f>
        <x:v>53</x:v>
      </x:c>
      <x:c r="B59" s="126" t="str">
        <x:f>'100 Markets'!B59</x:f>
        <x:v>Fredericksburg</x:v>
      </x:c>
      <x:c r="C59" s="126" t="str">
        <x:f>'100 Markets'!C59</x:f>
        <x:v>TX</x:v>
      </x:c>
      <x:c r="D59" s="126" t="str">
        <x:f>'100 Markets'!D59</x:f>
        <x:v>Wine / drive-to</x:v>
      </x:c>
      <x:c r="E59" s="127" t="n">
        <x:f>'100 Markets'!E59</x:f>
        <x:v>334</x:v>
      </x:c>
      <x:c r="F59" s="128" t="n">
        <x:f>'100 Markets'!F59</x:f>
        <x:v>0.4</x:v>
      </x:c>
      <x:c r="G59" s="127" t="n">
        <x:f>'100 Markets'!G59</x:f>
        <x:v>36200</x:v>
      </x:c>
      <x:c r="H59" s="129" t="n">
        <x:f>'100 Markets'!I59</x:f>
        <x:v>3338</x:v>
      </x:c>
      <x:c r="I59" s="126" t="str">
        <x:f>'100 Markets'!L59</x:f>
        <x:v>Dated vendor benchmark; match property comps</x:v>
      </x:c>
      <x:c r="J59" s="126" t="str">
        <x:f>'100 Markets'!M59</x:f>
        <x:v>Local review not completed</x:v>
      </x:c>
    </x:row>
    <x:row r="60">
      <x:c r="A60" s="126" t="n">
        <x:f>'100 Markets'!A60</x:f>
        <x:v>54</x:v>
      </x:c>
      <x:c r="B60" s="126" t="str">
        <x:f>'100 Markets'!B60</x:f>
        <x:v>New Braunfels</x:v>
      </x:c>
      <x:c r="C60" s="126" t="str">
        <x:f>'100 Markets'!C60</x:f>
        <x:v>TX</x:v>
      </x:c>
      <x:c r="D60" s="126" t="str">
        <x:f>'100 Markets'!D60</x:f>
        <x:v>River / entertainment</x:v>
      </x:c>
      <x:c r="E60" s="127" t="n">
        <x:f>'100 Markets'!E60</x:f>
        <x:v>333</x:v>
      </x:c>
      <x:c r="F60" s="128" t="n">
        <x:f>'100 Markets'!F60</x:f>
        <x:v>0.4</x:v>
      </x:c>
      <x:c r="G60" s="127" t="n">
        <x:f>'100 Markets'!G60</x:f>
        <x:v>42500</x:v>
      </x:c>
      <x:c r="H60" s="129" t="n">
        <x:f>'100 Markets'!I60</x:f>
        <x:v>1385</x:v>
      </x:c>
      <x:c r="I60" s="126" t="str">
        <x:f>'100 Markets'!L60</x:f>
        <x:v>LARGE SUPPLY CHANGE: CHECK COVERAGE</x:v>
      </x:c>
      <x:c r="J60" s="126" t="str">
        <x:f>'100 Markets'!M60</x:f>
        <x:v>Local review not completed</x:v>
      </x:c>
    </x:row>
    <x:row r="61">
      <x:c r="A61" s="126" t="n">
        <x:f>'100 Markets'!A61</x:f>
        <x:v>55</x:v>
      </x:c>
      <x:c r="B61" s="126" t="str">
        <x:f>'100 Markets'!B61</x:f>
        <x:v>Galveston</x:v>
      </x:c>
      <x:c r="C61" s="126" t="str">
        <x:f>'100 Markets'!C61</x:f>
        <x:v>TX</x:v>
      </x:c>
      <x:c r="D61" s="126" t="str">
        <x:f>'100 Markets'!D61</x:f>
        <x:v>Beach / cruise</x:v>
      </x:c>
      <x:c r="E61" s="127" t="n">
        <x:f>'100 Markets'!E61</x:f>
        <x:v>330</x:v>
      </x:c>
      <x:c r="F61" s="128" t="n">
        <x:f>'100 Markets'!F61</x:f>
        <x:v>0.43</x:v>
      </x:c>
      <x:c r="G61" s="127" t="n">
        <x:f>'100 Markets'!G61</x:f>
        <x:v>30100</x:v>
      </x:c>
      <x:c r="H61" s="129" t="n">
        <x:f>'100 Markets'!I61</x:f>
        <x:v>6477</x:v>
      </x:c>
      <x:c r="I61" s="126" t="str">
        <x:f>'100 Markets'!L61</x:f>
        <x:v>Dated vendor benchmark; match property comps</x:v>
      </x:c>
      <x:c r="J61" s="126" t="str">
        <x:f>'100 Markets'!M61</x:f>
        <x:v>Local review not completed</x:v>
      </x:c>
    </x:row>
    <x:row r="62">
      <x:c r="A62" s="126" t="n">
        <x:f>'100 Markets'!A62</x:f>
        <x:v>56</x:v>
      </x:c>
      <x:c r="B62" s="126" t="str">
        <x:f>'100 Markets'!B62</x:f>
        <x:v>Port Aransas</x:v>
      </x:c>
      <x:c r="C62" s="126" t="str">
        <x:f>'100 Markets'!C62</x:f>
        <x:v>TX</x:v>
      </x:c>
      <x:c r="D62" s="126" t="str">
        <x:f>'100 Markets'!D62</x:f>
        <x:v>Beach</x:v>
      </x:c>
      <x:c r="E62" s="127" t="n">
        <x:f>'100 Markets'!E62</x:f>
        <x:v>511</x:v>
      </x:c>
      <x:c r="F62" s="128" t="n">
        <x:f>'100 Markets'!F62</x:f>
        <x:v>0.46</x:v>
      </x:c>
      <x:c r="G62" s="127" t="n">
        <x:f>'100 Markets'!G62</x:f>
        <x:v>49000</x:v>
      </x:c>
      <x:c r="H62" s="129" t="n">
        <x:f>'100 Markets'!I62</x:f>
        <x:v>4809</x:v>
      </x:c>
      <x:c r="I62" s="126" t="str">
        <x:f>'100 Markets'!L62</x:f>
        <x:v>Dated vendor benchmark; match property comps</x:v>
      </x:c>
      <x:c r="J62" s="126" t="str">
        <x:f>'100 Markets'!M62</x:f>
        <x:v>Local review not completed</x:v>
      </x:c>
    </x:row>
    <x:row r="63">
      <x:c r="A63" s="126" t="n">
        <x:f>'100 Markets'!A63</x:f>
        <x:v>57</x:v>
      </x:c>
      <x:c r="B63" s="126" t="str">
        <x:f>'100 Markets'!B63</x:f>
        <x:v>Waco</x:v>
      </x:c>
      <x:c r="C63" s="126" t="str">
        <x:f>'100 Markets'!C63</x:f>
        <x:v>TX</x:v>
      </x:c>
      <x:c r="D63" s="126" t="str">
        <x:f>'100 Markets'!D63</x:f>
        <x:v>College / leisure</x:v>
      </x:c>
      <x:c r="E63" s="127" t="n">
        <x:f>'100 Markets'!E63</x:f>
        <x:v>208</x:v>
      </x:c>
      <x:c r="F63" s="128" t="n">
        <x:f>'100 Markets'!F63</x:f>
        <x:v>0.5</x:v>
      </x:c>
      <x:c r="G63" s="127" t="n">
        <x:f>'100 Markets'!G63</x:f>
        <x:v>25500</x:v>
      </x:c>
      <x:c r="H63" s="129" t="n">
        <x:f>'100 Markets'!I63</x:f>
        <x:v>1036</x:v>
      </x:c>
      <x:c r="I63" s="126" t="str">
        <x:f>'100 Markets'!L63</x:f>
        <x:v>Dated vendor benchmark; match property comps</x:v>
      </x:c>
      <x:c r="J63" s="126" t="str">
        <x:f>'100 Markets'!M63</x:f>
        <x:v>Local review not completed</x:v>
      </x:c>
    </x:row>
    <x:row r="64">
      <x:c r="A64" s="126" t="n">
        <x:f>'100 Markets'!A64</x:f>
        <x:v>58</x:v>
      </x:c>
      <x:c r="B64" s="126" t="str">
        <x:f>'100 Markets'!B64</x:f>
        <x:v>San Antonio</x:v>
      </x:c>
      <x:c r="C64" s="126" t="str">
        <x:f>'100 Markets'!C64</x:f>
        <x:v>TX</x:v>
      </x:c>
      <x:c r="D64" s="126" t="str">
        <x:f>'100 Markets'!D64</x:f>
        <x:v>Heritage / business</x:v>
      </x:c>
      <x:c r="E64" s="127" t="n">
        <x:f>'100 Markets'!E64</x:f>
        <x:v>173</x:v>
      </x:c>
      <x:c r="F64" s="128" t="n">
        <x:f>'100 Markets'!F64</x:f>
        <x:v>0.56</x:v>
      </x:c>
      <x:c r="G64" s="127" t="n">
        <x:f>'100 Markets'!G64</x:f>
        <x:v>20500</x:v>
      </x:c>
      <x:c r="H64" s="129" t="n">
        <x:f>'100 Markets'!I64</x:f>
        <x:v>9737</x:v>
      </x:c>
      <x:c r="I64" s="126" t="str">
        <x:f>'100 Markets'!L64</x:f>
        <x:v>Dated vendor benchmark; match property comps</x:v>
      </x:c>
      <x:c r="J64" s="126" t="str">
        <x:f>'100 Markets'!M64</x:f>
        <x:v>Restricted / location-dependent</x:v>
      </x:c>
    </x:row>
    <x:row r="65">
      <x:c r="A65" s="126" t="n">
        <x:f>'100 Markets'!A65</x:f>
        <x:v>59</x:v>
      </x:c>
      <x:c r="B65" s="126" t="str">
        <x:f>'100 Markets'!B65</x:f>
        <x:v>Houston</x:v>
      </x:c>
      <x:c r="C65" s="126" t="str">
        <x:f>'100 Markets'!C65</x:f>
        <x:v>TX</x:v>
      </x:c>
      <x:c r="D65" s="126" t="str">
        <x:f>'100 Markets'!D65</x:f>
        <x:v>Business / medical</x:v>
      </x:c>
      <x:c r="E65" s="127" t="n">
        <x:f>'100 Markets'!E65</x:f>
        <x:v>191</x:v>
      </x:c>
      <x:c r="F65" s="128" t="n">
        <x:f>'100 Markets'!F65</x:f>
        <x:v>0.5</x:v>
      </x:c>
      <x:c r="G65" s="127" t="n">
        <x:f>'100 Markets'!G65</x:f>
        <x:v>15300</x:v>
      </x:c>
      <x:c r="H65" s="129" t="n">
        <x:f>'100 Markets'!I65</x:f>
        <x:v>20395</x:v>
      </x:c>
      <x:c r="I65" s="126" t="str">
        <x:f>'100 Markets'!L65</x:f>
        <x:v>Dated vendor benchmark; match property comps</x:v>
      </x:c>
      <x:c r="J65" s="126" t="str">
        <x:f>'100 Markets'!M65</x:f>
        <x:v>Permit path identified</x:v>
      </x:c>
    </x:row>
    <x:row r="66">
      <x:c r="A66" s="126" t="n">
        <x:f>'100 Markets'!A66</x:f>
        <x:v>60</x:v>
      </x:c>
      <x:c r="B66" s="126" t="str">
        <x:f>'100 Markets'!B66</x:f>
        <x:v>Abilene</x:v>
      </x:c>
      <x:c r="C66" s="126" t="str">
        <x:f>'100 Markets'!C66</x:f>
        <x:v>TX</x:v>
      </x:c>
      <x:c r="D66" s="126" t="str">
        <x:f>'100 Markets'!D66</x:f>
        <x:v>Workforce / military</x:v>
      </x:c>
      <x:c r="E66" s="127" t="n">
        <x:f>'100 Markets'!E66</x:f>
        <x:v>178</x:v>
      </x:c>
      <x:c r="F66" s="128" t="n">
        <x:f>'100 Markets'!F66</x:f>
        <x:v>0.79</x:v>
      </x:c>
      <x:c r="G66" s="127" t="n">
        <x:f>'100 Markets'!G66</x:f>
        <x:v>43700</x:v>
      </x:c>
      <x:c r="H66" s="129" t="n">
        <x:f>'100 Markets'!I66</x:f>
        <x:v>958</x:v>
      </x:c>
      <x:c r="I66" s="126" t="str">
        <x:f>'100 Markets'!L66</x:f>
        <x:v>LARGE SUPPLY CHANGE: CHECK COVERAGE</x:v>
      </x:c>
      <x:c r="J66" s="126" t="str">
        <x:f>'100 Markets'!M66</x:f>
        <x:v>Local review not completed</x:v>
      </x:c>
    </x:row>
    <x:row r="67">
      <x:c r="A67" s="126" t="n">
        <x:f>'100 Markets'!A67</x:f>
        <x:v>61</x:v>
      </x:c>
      <x:c r="B67" s="126" t="str">
        <x:f>'100 Markets'!B67</x:f>
        <x:v>Port Arthur</x:v>
      </x:c>
      <x:c r="C67" s="126" t="str">
        <x:f>'100 Markets'!C67</x:f>
        <x:v>TX</x:v>
      </x:c>
      <x:c r="D67" s="126" t="str">
        <x:f>'100 Markets'!D67</x:f>
        <x:v>Workforce / industrial</x:v>
      </x:c>
      <x:c r="E67" s="127" t="n">
        <x:f>'100 Markets'!E67</x:f>
        <x:v>95</x:v>
      </x:c>
      <x:c r="F67" s="128" t="n">
        <x:f>'100 Markets'!F67</x:f>
        <x:v>0.73</x:v>
      </x:c>
      <x:c r="G67" s="127" t="n">
        <x:f>'100 Markets'!G67</x:f>
        <x:v>22800</x:v>
      </x:c>
      <x:c r="H67" s="129" t="n">
        <x:f>'100 Markets'!I67</x:f>
        <x:v>462</x:v>
      </x:c>
      <x:c r="I67" s="126" t="str">
        <x:f>'100 Markets'!L67</x:f>
        <x:v>LARGE SUPPLY CHANGE: CHECK COVERAGE</x:v>
      </x:c>
      <x:c r="J67" s="126" t="str">
        <x:f>'100 Markets'!M67</x:f>
        <x:v>Local review not completed</x:v>
      </x:c>
    </x:row>
    <x:row r="68">
      <x:c r="A68" s="126" t="n">
        <x:f>'100 Markets'!A68</x:f>
        <x:v>62</x:v>
      </x:c>
      <x:c r="B68" s="126" t="str">
        <x:f>'100 Markets'!B68</x:f>
        <x:v>Oklahoma City</x:v>
      </x:c>
      <x:c r="C68" s="126" t="str">
        <x:f>'100 Markets'!C68</x:f>
        <x:v>OK</x:v>
      </x:c>
      <x:c r="D68" s="126" t="str">
        <x:f>'100 Markets'!D68</x:f>
        <x:v>Business / events</x:v>
      </x:c>
      <x:c r="E68" s="127" t="n">
        <x:f>'100 Markets'!E68</x:f>
        <x:v>140.3</x:v>
      </x:c>
      <x:c r="F68" s="128" t="n">
        <x:f>'100 Markets'!F68</x:f>
        <x:v>0.57</x:v>
      </x:c>
      <x:c r="G68" s="127" t="n">
        <x:f>'100 Markets'!G68</x:f>
        <x:v>16800</x:v>
      </x:c>
      <x:c r="H68" s="129" t="n">
        <x:f>'100 Markets'!I68</x:f>
        <x:v>2951</x:v>
      </x:c>
      <x:c r="I68" s="126" t="str">
        <x:f>'100 Markets'!L68</x:f>
        <x:v>UNDATED SNAPSHOT</x:v>
      </x:c>
      <x:c r="J68" s="126" t="str">
        <x:f>'100 Markets'!M68</x:f>
        <x:v>Local review not completed</x:v>
      </x:c>
    </x:row>
    <x:row r="69">
      <x:c r="A69" s="126" t="n">
        <x:f>'100 Markets'!A69</x:f>
        <x:v>63</x:v>
      </x:c>
      <x:c r="B69" s="126" t="str">
        <x:f>'100 Markets'!B69</x:f>
        <x:v>Tulsa</x:v>
      </x:c>
      <x:c r="C69" s="126" t="str">
        <x:f>'100 Markets'!C69</x:f>
        <x:v>OK</x:v>
      </x:c>
      <x:c r="D69" s="126" t="str">
        <x:f>'100 Markets'!D69</x:f>
        <x:v>Business / events</x:v>
      </x:c>
      <x:c r="E69" s="127" t="n">
        <x:f>'100 Markets'!E69</x:f>
        <x:v>161</x:v>
      </x:c>
      <x:c r="F69" s="128" t="n">
        <x:f>'100 Markets'!F69</x:f>
        <x:v>0.58</x:v>
      </x:c>
      <x:c r="G69" s="127" t="n">
        <x:f>'100 Markets'!G69</x:f>
        <x:v>19600</x:v>
      </x:c>
      <x:c r="H69" s="129" t="n">
        <x:f>'100 Markets'!I69</x:f>
        <x:v>2017</x:v>
      </x:c>
      <x:c r="I69" s="126" t="str">
        <x:f>'100 Markets'!L69</x:f>
        <x:v>Dated vendor benchmark; match property comps</x:v>
      </x:c>
      <x:c r="J69" s="126" t="str">
        <x:f>'100 Markets'!M69</x:f>
        <x:v>Local review not completed</x:v>
      </x:c>
    </x:row>
    <x:row r="70">
      <x:c r="A70" s="126" t="n">
        <x:f>'100 Markets'!A70</x:f>
        <x:v>64</x:v>
      </x:c>
      <x:c r="B70" s="126" t="str">
        <x:f>'100 Markets'!B70</x:f>
        <x:v>Bentonville</x:v>
      </x:c>
      <x:c r="C70" s="126" t="str">
        <x:f>'100 Markets'!C70</x:f>
        <x:v>AR</x:v>
      </x:c>
      <x:c r="D70" s="126" t="str">
        <x:f>'100 Markets'!D70</x:f>
        <x:v>Business / outdoor</x:v>
      </x:c>
      <x:c r="E70" s="127" t="n">
        <x:f>'100 Markets'!E70</x:f>
        <x:v>204.1</x:v>
      </x:c>
      <x:c r="F70" s="128" t="n">
        <x:f>'100 Markets'!F70</x:f>
        <x:v>0.55</x:v>
      </x:c>
      <x:c r="G70" s="127" t="n">
        <x:f>'100 Markets'!G70</x:f>
        <x:v>25000</x:v>
      </x:c>
      <x:c r="H70" s="129" t="n">
        <x:f>'100 Markets'!I70</x:f>
        <x:v>1158</x:v>
      </x:c>
      <x:c r="I70" s="126" t="str">
        <x:f>'100 Markets'!L70</x:f>
        <x:v>UNDATED SNAPSHOT</x:v>
      </x:c>
      <x:c r="J70" s="126" t="str">
        <x:f>'100 Markets'!M70</x:f>
        <x:v>Local review not completed</x:v>
      </x:c>
    </x:row>
    <x:row r="71">
      <x:c r="A71" s="126" t="n">
        <x:f>'100 Markets'!A71</x:f>
        <x:v>65</x:v>
      </x:c>
      <x:c r="B71" s="126" t="str">
        <x:f>'100 Markets'!B71</x:f>
        <x:v>Fayetteville</x:v>
      </x:c>
      <x:c r="C71" s="126" t="str">
        <x:f>'100 Markets'!C71</x:f>
        <x:v>AR</x:v>
      </x:c>
      <x:c r="D71" s="126" t="str">
        <x:f>'100 Markets'!D71</x:f>
        <x:v>College / outdoor</x:v>
      </x:c>
      <x:c r="E71" s="127" t="n">
        <x:f>'100 Markets'!E71</x:f>
        <x:v>204</x:v>
      </x:c>
      <x:c r="F71" s="128" t="n">
        <x:f>'100 Markets'!F71</x:f>
        <x:v>0.5</x:v>
      </x:c>
      <x:c r="G71" s="127" t="n">
        <x:f>'100 Markets'!G71</x:f>
        <x:v>33300</x:v>
      </x:c>
      <x:c r="H71" s="129" t="n">
        <x:f>'100 Markets'!I71</x:f>
        <x:v>827</x:v>
      </x:c>
      <x:c r="I71" s="126" t="str">
        <x:f>'100 Markets'!L71</x:f>
        <x:v>Dated vendor benchmark; match property comps</x:v>
      </x:c>
      <x:c r="J71" s="126" t="str">
        <x:f>'100 Markets'!M71</x:f>
        <x:v>Restricted / location-dependent</x:v>
      </x:c>
    </x:row>
    <x:row r="72">
      <x:c r="A72" s="126" t="n">
        <x:f>'100 Markets'!A72</x:f>
        <x:v>66</x:v>
      </x:c>
      <x:c r="B72" s="126" t="str">
        <x:f>'100 Markets'!B72</x:f>
        <x:v>Huntsville</x:v>
      </x:c>
      <x:c r="C72" s="126" t="str">
        <x:f>'100 Markets'!C72</x:f>
        <x:v>AL</x:v>
      </x:c>
      <x:c r="D72" s="126" t="str">
        <x:f>'100 Markets'!D72</x:f>
        <x:v>Business / aerospace</x:v>
      </x:c>
      <x:c r="E72" s="127" t="n">
        <x:f>'100 Markets'!E72</x:f>
        <x:v>129</x:v>
      </x:c>
      <x:c r="F72" s="128" t="n">
        <x:f>'100 Markets'!F72</x:f>
        <x:v>0.5</x:v>
      </x:c>
      <x:c r="G72" s="127" t="n">
        <x:f>'100 Markets'!G72</x:f>
        <x:v>13200</x:v>
      </x:c>
      <x:c r="H72" s="129" t="n">
        <x:f>'100 Markets'!I72</x:f>
        <x:v>1089</x:v>
      </x:c>
      <x:c r="I72" s="126" t="str">
        <x:f>'100 Markets'!L72</x:f>
        <x:v>Dated vendor benchmark; match property comps</x:v>
      </x:c>
      <x:c r="J72" s="126" t="str">
        <x:f>'100 Markets'!M72</x:f>
        <x:v>Local review not completed</x:v>
      </x:c>
    </x:row>
    <x:row r="73">
      <x:c r="A73" s="126" t="n">
        <x:f>'100 Markets'!A73</x:f>
        <x:v>67</x:v>
      </x:c>
      <x:c r="B73" s="126" t="str">
        <x:f>'100 Markets'!B73</x:f>
        <x:v>Birmingham</x:v>
      </x:c>
      <x:c r="C73" s="126" t="str">
        <x:f>'100 Markets'!C73</x:f>
        <x:v>AL</x:v>
      </x:c>
      <x:c r="D73" s="126" t="str">
        <x:f>'100 Markets'!D73</x:f>
        <x:v>Medical / business</x:v>
      </x:c>
      <x:c r="E73" s="127" t="n">
        <x:f>'100 Markets'!E73</x:f>
        <x:v>167</x:v>
      </x:c>
      <x:c r="F73" s="128" t="n">
        <x:f>'100 Markets'!F73</x:f>
        <x:v>0.52</x:v>
      </x:c>
      <x:c r="G73" s="127" t="n">
        <x:f>'100 Markets'!G73</x:f>
        <x:v>18900</x:v>
      </x:c>
      <x:c r="H73" s="129" t="n">
        <x:f>'100 Markets'!I73</x:f>
        <x:v>2520</x:v>
      </x:c>
      <x:c r="I73" s="126" t="str">
        <x:f>'100 Markets'!L73</x:f>
        <x:v>Dated vendor benchmark; match property comps</x:v>
      </x:c>
      <x:c r="J73" s="126" t="str">
        <x:f>'100 Markets'!M73</x:f>
        <x:v>Local review not completed</x:v>
      </x:c>
    </x:row>
    <x:row r="74">
      <x:c r="A74" s="126" t="n">
        <x:f>'100 Markets'!A74</x:f>
        <x:v>68</x:v>
      </x:c>
      <x:c r="B74" s="126" t="str">
        <x:f>'100 Markets'!B74</x:f>
        <x:v>Montgomery</x:v>
      </x:c>
      <x:c r="C74" s="126" t="str">
        <x:f>'100 Markets'!C74</x:f>
        <x:v>AL</x:v>
      </x:c>
      <x:c r="D74" s="126" t="str">
        <x:f>'100 Markets'!D74</x:f>
        <x:v>Government / heritage</x:v>
      </x:c>
      <x:c r="E74" s="127" t="n">
        <x:f>'100 Markets'!E74</x:f>
        <x:v>142</x:v>
      </x:c>
      <x:c r="F74" s="128" t="n">
        <x:f>'100 Markets'!F74</x:f>
        <x:v>0.61</x:v>
      </x:c>
      <x:c r="G74" s="127" t="n">
        <x:f>'100 Markets'!G74</x:f>
        <x:v>18200</x:v>
      </x:c>
      <x:c r="H74" s="129" t="n">
        <x:f>'100 Markets'!I74</x:f>
        <x:v>845</x:v>
      </x:c>
      <x:c r="I74" s="126" t="str">
        <x:f>'100 Markets'!L74</x:f>
        <x:v>Dated vendor benchmark; match property comps</x:v>
      </x:c>
      <x:c r="J74" s="126" t="str">
        <x:f>'100 Markets'!M74</x:f>
        <x:v>Local review not completed</x:v>
      </x:c>
    </x:row>
    <x:row r="75">
      <x:c r="A75" s="126" t="n">
        <x:f>'100 Markets'!A75</x:f>
        <x:v>69</x:v>
      </x:c>
      <x:c r="B75" s="126" t="str">
        <x:f>'100 Markets'!B75</x:f>
        <x:v>Louisville</x:v>
      </x:c>
      <x:c r="C75" s="126" t="str">
        <x:f>'100 Markets'!C75</x:f>
        <x:v>KY</x:v>
      </x:c>
      <x:c r="D75" s="126" t="str">
        <x:f>'100 Markets'!D75</x:f>
        <x:v>Events / business</x:v>
      </x:c>
      <x:c r="E75" s="127" t="n">
        <x:f>'100 Markets'!E75</x:f>
        <x:v>217</x:v>
      </x:c>
      <x:c r="F75" s="128" t="n">
        <x:f>'100 Markets'!F75</x:f>
        <x:v>0.56</x:v>
      </x:c>
      <x:c r="G75" s="127" t="n">
        <x:f>'100 Markets'!G75</x:f>
        <x:v>39800</x:v>
      </x:c>
      <x:c r="H75" s="129" t="n">
        <x:f>'100 Markets'!I75</x:f>
        <x:v>3244</x:v>
      </x:c>
      <x:c r="I75" s="126" t="str">
        <x:f>'100 Markets'!L75</x:f>
        <x:v>Dated vendor benchmark; match property comps</x:v>
      </x:c>
      <x:c r="J75" s="126" t="str">
        <x:f>'100 Markets'!M75</x:f>
        <x:v>Permit path identified</x:v>
      </x:c>
    </x:row>
    <x:row r="76">
      <x:c r="A76" s="126" t="n">
        <x:f>'100 Markets'!A76</x:f>
        <x:v>70</x:v>
      </x:c>
      <x:c r="B76" s="126" t="str">
        <x:f>'100 Markets'!B76</x:f>
        <x:v>Lexington</x:v>
      </x:c>
      <x:c r="C76" s="126" t="str">
        <x:f>'100 Markets'!C76</x:f>
        <x:v>KY</x:v>
      </x:c>
      <x:c r="D76" s="126" t="str">
        <x:f>'100 Markets'!D76</x:f>
        <x:v>College / equestrian</x:v>
      </x:c>
      <x:c r="E76" s="127" t="n">
        <x:f>'100 Markets'!E76</x:f>
        <x:v>196</x:v>
      </x:c>
      <x:c r="F76" s="128" t="n">
        <x:f>'100 Markets'!F76</x:f>
        <x:v>0.57</x:v>
      </x:c>
      <x:c r="G76" s="127" t="n">
        <x:f>'100 Markets'!G76</x:f>
        <x:v>36900</x:v>
      </x:c>
      <x:c r="H76" s="129" t="n">
        <x:f>'100 Markets'!I76</x:f>
        <x:v>1381</x:v>
      </x:c>
      <x:c r="I76" s="126" t="str">
        <x:f>'100 Markets'!L76</x:f>
        <x:v>Dated vendor benchmark; match property comps</x:v>
      </x:c>
      <x:c r="J76" s="126" t="str">
        <x:f>'100 Markets'!M76</x:f>
        <x:v>Permit path identified</x:v>
      </x:c>
    </x:row>
    <x:row r="77">
      <x:c r="A77" s="126" t="n">
        <x:f>'100 Markets'!A77</x:f>
        <x:v>71</x:v>
      </x:c>
      <x:c r="B77" s="126" t="str">
        <x:f>'100 Markets'!B77</x:f>
        <x:v>Indianapolis</x:v>
      </x:c>
      <x:c r="C77" s="126" t="str">
        <x:f>'100 Markets'!C77</x:f>
        <x:v>IN</x:v>
      </x:c>
      <x:c r="D77" s="126" t="str">
        <x:f>'100 Markets'!D77</x:f>
        <x:v>Events / business</x:v>
      </x:c>
      <x:c r="E77" s="127" t="n">
        <x:f>'100 Markets'!E77</x:f>
        <x:v>205</x:v>
      </x:c>
      <x:c r="F77" s="128" t="n">
        <x:f>'100 Markets'!F77</x:f>
        <x:v>0.52</x:v>
      </x:c>
      <x:c r="G77" s="127" t="n">
        <x:f>'100 Markets'!G77</x:f>
        <x:v>20100</x:v>
      </x:c>
      <x:c r="H77" s="129" t="n">
        <x:f>'100 Markets'!I77</x:f>
        <x:v>5681</x:v>
      </x:c>
      <x:c r="I77" s="126" t="str">
        <x:f>'100 Markets'!L77</x:f>
        <x:v>Dated vendor benchmark; match property comps</x:v>
      </x:c>
      <x:c r="J77" s="126" t="str">
        <x:f>'100 Markets'!M77</x:f>
        <x:v>Permit path identified</x:v>
      </x:c>
    </x:row>
    <x:row r="78">
      <x:c r="A78" s="126" t="n">
        <x:f>'100 Markets'!A78</x:f>
        <x:v>72</x:v>
      </x:c>
      <x:c r="B78" s="126" t="str">
        <x:f>'100 Markets'!B78</x:f>
        <x:v>Columbus</x:v>
      </x:c>
      <x:c r="C78" s="126" t="str">
        <x:f>'100 Markets'!C78</x:f>
        <x:v>OH</x:v>
      </x:c>
      <x:c r="D78" s="126" t="str">
        <x:f>'100 Markets'!D78</x:f>
        <x:v>College / business</x:v>
      </x:c>
      <x:c r="E78" s="127" t="n">
        <x:f>'100 Markets'!E78</x:f>
        <x:v>173</x:v>
      </x:c>
      <x:c r="F78" s="128" t="n">
        <x:f>'100 Markets'!F78</x:f>
        <x:v>0.62</x:v>
      </x:c>
      <x:c r="G78" s="127" t="n">
        <x:f>'100 Markets'!G78</x:f>
        <x:v>22200</x:v>
      </x:c>
      <x:c r="H78" s="129" t="n">
        <x:f>'100 Markets'!I78</x:f>
        <x:v>4155</x:v>
      </x:c>
      <x:c r="I78" s="126" t="str">
        <x:f>'100 Markets'!L78</x:f>
        <x:v>Dated vendor benchmark; match property comps</x:v>
      </x:c>
      <x:c r="J78" s="126" t="str">
        <x:f>'100 Markets'!M78</x:f>
        <x:v>Permit path identified</x:v>
      </x:c>
    </x:row>
    <x:row r="79">
      <x:c r="A79" s="126" t="n">
        <x:f>'100 Markets'!A79</x:f>
        <x:v>73</x:v>
      </x:c>
      <x:c r="B79" s="126" t="str">
        <x:f>'100 Markets'!B79</x:f>
        <x:v>Cleveland</x:v>
      </x:c>
      <x:c r="C79" s="126" t="str">
        <x:f>'100 Markets'!C79</x:f>
        <x:v>OH</x:v>
      </x:c>
      <x:c r="D79" s="126" t="str">
        <x:f>'100 Markets'!D79</x:f>
        <x:v>Medical / events</x:v>
      </x:c>
      <x:c r="E79" s="127" t="n">
        <x:f>'100 Markets'!E79</x:f>
        <x:v>146</x:v>
      </x:c>
      <x:c r="F79" s="128" t="n">
        <x:f>'100 Markets'!F79</x:f>
        <x:v>0.6</x:v>
      </x:c>
      <x:c r="G79" s="127" t="n">
        <x:f>'100 Markets'!G79</x:f>
        <x:v>29100</x:v>
      </x:c>
      <x:c r="H79" s="129" t="n">
        <x:f>'100 Markets'!I79</x:f>
        <x:v>3970</x:v>
      </x:c>
      <x:c r="I79" s="126" t="str">
        <x:f>'100 Markets'!L79</x:f>
        <x:v>Dated vendor benchmark; match property comps</x:v>
      </x:c>
      <x:c r="J79" s="126" t="str">
        <x:f>'100 Markets'!M79</x:f>
        <x:v>Local review not completed</x:v>
      </x:c>
    </x:row>
    <x:row r="80">
      <x:c r="A80" s="126" t="n">
        <x:f>'100 Markets'!A80</x:f>
        <x:v>74</x:v>
      </x:c>
      <x:c r="B80" s="126" t="str">
        <x:f>'100 Markets'!B80</x:f>
        <x:v>Akron</x:v>
      </x:c>
      <x:c r="C80" s="126" t="str">
        <x:f>'100 Markets'!C80</x:f>
        <x:v>OH</x:v>
      </x:c>
      <x:c r="D80" s="126" t="str">
        <x:f>'100 Markets'!D80</x:f>
        <x:v>Medical / business</x:v>
      </x:c>
      <x:c r="E80" s="127" t="n">
        <x:f>'100 Markets'!E80</x:f>
        <x:v>133</x:v>
      </x:c>
      <x:c r="F80" s="128" t="n">
        <x:f>'100 Markets'!F80</x:f>
        <x:v>0.61</x:v>
      </x:c>
      <x:c r="G80" s="127" t="n">
        <x:f>'100 Markets'!G80</x:f>
        <x:v>17300</x:v>
      </x:c>
      <x:c r="H80" s="129" t="n">
        <x:f>'100 Markets'!I80</x:f>
        <x:v>595</x:v>
      </x:c>
      <x:c r="I80" s="126" t="str">
        <x:f>'100 Markets'!L80</x:f>
        <x:v>UNDATED SNAPSHOT</x:v>
      </x:c>
      <x:c r="J80" s="126" t="str">
        <x:f>'100 Markets'!M80</x:f>
        <x:v>Local review not completed</x:v>
      </x:c>
    </x:row>
    <x:row r="81">
      <x:c r="A81" s="126" t="n">
        <x:f>'100 Markets'!A81</x:f>
        <x:v>75</x:v>
      </x:c>
      <x:c r="B81" s="126" t="str">
        <x:f>'100 Markets'!B81</x:f>
        <x:v>Pittsburgh</x:v>
      </x:c>
      <x:c r="C81" s="126" t="str">
        <x:f>'100 Markets'!C81</x:f>
        <x:v>PA</x:v>
      </x:c>
      <x:c r="D81" s="126" t="str">
        <x:f>'100 Markets'!D81</x:f>
        <x:v>Medical / college</x:v>
      </x:c>
      <x:c r="E81" s="127" t="n">
        <x:f>'100 Markets'!E81</x:f>
        <x:v>215</x:v>
      </x:c>
      <x:c r="F81" s="128" t="n">
        <x:f>'100 Markets'!F81</x:f>
        <x:v>0.53</x:v>
      </x:c>
      <x:c r="G81" s="127" t="n">
        <x:f>'100 Markets'!G81</x:f>
        <x:v>19600</x:v>
      </x:c>
      <x:c r="H81" s="129" t="n">
        <x:f>'100 Markets'!I81</x:f>
        <x:v>4772</x:v>
      </x:c>
      <x:c r="I81" s="126" t="str">
        <x:f>'100 Markets'!L81</x:f>
        <x:v>Dated vendor benchmark; match property comps</x:v>
      </x:c>
      <x:c r="J81" s="126" t="str">
        <x:f>'100 Markets'!M81</x:f>
        <x:v>Local review not completed</x:v>
      </x:c>
    </x:row>
    <x:row r="82">
      <x:c r="A82" s="126" t="n">
        <x:f>'100 Markets'!A82</x:f>
        <x:v>76</x:v>
      </x:c>
      <x:c r="B82" s="126" t="str">
        <x:f>'100 Markets'!B82</x:f>
        <x:v>Chattanooga</x:v>
      </x:c>
      <x:c r="C82" s="126" t="str">
        <x:f>'100 Markets'!C82</x:f>
        <x:v>TN</x:v>
      </x:c>
      <x:c r="D82" s="126" t="str">
        <x:f>'100 Markets'!D82</x:f>
        <x:v>Outdoor / business</x:v>
      </x:c>
      <x:c r="E82" s="127" t="n">
        <x:f>'100 Markets'!E82</x:f>
        <x:v>173</x:v>
      </x:c>
      <x:c r="F82" s="128" t="n">
        <x:f>'100 Markets'!F82</x:f>
        <x:v>0.57</x:v>
      </x:c>
      <x:c r="G82" s="127" t="n">
        <x:f>'100 Markets'!G82</x:f>
        <x:v>24500</x:v>
      </x:c>
      <x:c r="H82" s="129" t="n">
        <x:f>'100 Markets'!I82</x:f>
        <x:v>1760</x:v>
      </x:c>
      <x:c r="I82" s="126" t="str">
        <x:f>'100 Markets'!L82</x:f>
        <x:v>Dated vendor benchmark; match property comps</x:v>
      </x:c>
      <x:c r="J82" s="126" t="str">
        <x:f>'100 Markets'!M82</x:f>
        <x:v>Restricted / location-dependent</x:v>
      </x:c>
    </x:row>
    <x:row r="83">
      <x:c r="A83" s="126" t="n">
        <x:f>'100 Markets'!A83</x:f>
        <x:v>77</x:v>
      </x:c>
      <x:c r="B83" s="126" t="str">
        <x:f>'100 Markets'!B83</x:f>
        <x:v>Knoxville</x:v>
      </x:c>
      <x:c r="C83" s="126" t="str">
        <x:f>'100 Markets'!C83</x:f>
        <x:v>TN</x:v>
      </x:c>
      <x:c r="D83" s="126" t="str">
        <x:f>'100 Markets'!D83</x:f>
        <x:v>College / business</x:v>
      </x:c>
      <x:c r="E83" s="127" t="n">
        <x:f>'100 Markets'!E83</x:f>
        <x:v>198</x:v>
      </x:c>
      <x:c r="F83" s="128" t="n">
        <x:f>'100 Markets'!F83</x:f>
        <x:v>0.57</x:v>
      </x:c>
      <x:c r="G83" s="127" t="n">
        <x:f>'100 Markets'!G83</x:f>
        <x:v>22600</x:v>
      </x:c>
      <x:c r="H83" s="129" t="n">
        <x:f>'100 Markets'!I83</x:f>
        <x:v>2105</x:v>
      </x:c>
      <x:c r="I83" s="126" t="str">
        <x:f>'100 Markets'!L83</x:f>
        <x:v>Dated vendor benchmark; match property comps</x:v>
      </x:c>
      <x:c r="J83" s="126" t="str">
        <x:f>'100 Markets'!M83</x:f>
        <x:v>Local review not completed</x:v>
      </x:c>
    </x:row>
    <x:row r="84">
      <x:c r="A84" s="126" t="n">
        <x:f>'100 Markets'!A84</x:f>
        <x:v>78</x:v>
      </x:c>
      <x:c r="B84" s="126" t="str">
        <x:f>'100 Markets'!B84</x:f>
        <x:v>Nashville</x:v>
      </x:c>
      <x:c r="C84" s="126" t="str">
        <x:f>'100 Markets'!C84</x:f>
        <x:v>TN</x:v>
      </x:c>
      <x:c r="D84" s="126" t="str">
        <x:f>'100 Markets'!D84</x:f>
        <x:v>Music / business</x:v>
      </x:c>
      <x:c r="E84" s="127" t="n">
        <x:f>'100 Markets'!E84</x:f>
        <x:v>296</x:v>
      </x:c>
      <x:c r="F84" s="128" t="n">
        <x:f>'100 Markets'!F84</x:f>
        <x:v>0.58</x:v>
      </x:c>
      <x:c r="G84" s="127" t="n">
        <x:f>'100 Markets'!G84</x:f>
        <x:v>57300</x:v>
      </x:c>
      <x:c r="H84" s="129" t="n">
        <x:f>'100 Markets'!I84</x:f>
        <x:v>11305</x:v>
      </x:c>
      <x:c r="I84" s="126" t="str">
        <x:f>'100 Markets'!L84</x:f>
        <x:v>Dated vendor benchmark; match property comps</x:v>
      </x:c>
      <x:c r="J84" s="126" t="str">
        <x:f>'100 Markets'!M84</x:f>
        <x:v>Restricted / location-dependent</x:v>
      </x:c>
    </x:row>
    <x:row r="85">
      <x:c r="A85" s="126" t="n">
        <x:f>'100 Markets'!A85</x:f>
        <x:v>79</x:v>
      </x:c>
      <x:c r="B85" s="126" t="str">
        <x:f>'100 Markets'!B85</x:f>
        <x:v>Savannah</x:v>
      </x:c>
      <x:c r="C85" s="126" t="str">
        <x:f>'100 Markets'!C85</x:f>
        <x:v>GA</x:v>
      </x:c>
      <x:c r="D85" s="126" t="str">
        <x:f>'100 Markets'!D85</x:f>
        <x:v>Heritage / leisure</x:v>
      </x:c>
      <x:c r="E85" s="127" t="n">
        <x:f>'100 Markets'!E85</x:f>
        <x:v>298</x:v>
      </x:c>
      <x:c r="F85" s="128" t="n">
        <x:f>'100 Markets'!F85</x:f>
        <x:v>0.57</x:v>
      </x:c>
      <x:c r="G85" s="127" t="n">
        <x:f>'100 Markets'!G85</x:f>
        <x:v>39500</x:v>
      </x:c>
      <x:c r="H85" s="129" t="n">
        <x:f>'100 Markets'!I85</x:f>
        <x:v>4755</x:v>
      </x:c>
      <x:c r="I85" s="126" t="str">
        <x:f>'100 Markets'!L85</x:f>
        <x:v>Dated vendor benchmark; match property comps</x:v>
      </x:c>
      <x:c r="J85" s="126" t="str">
        <x:f>'100 Markets'!M85</x:f>
        <x:v>Restricted / location-dependent</x:v>
      </x:c>
    </x:row>
    <x:row r="86">
      <x:c r="A86" s="126" t="n">
        <x:f>'100 Markets'!A86</x:f>
        <x:v>80</x:v>
      </x:c>
      <x:c r="B86" s="126" t="str">
        <x:f>'100 Markets'!B86</x:f>
        <x:v>Athens</x:v>
      </x:c>
      <x:c r="C86" s="126" t="str">
        <x:f>'100 Markets'!C86</x:f>
        <x:v>GA</x:v>
      </x:c>
      <x:c r="D86" s="126" t="str">
        <x:f>'100 Markets'!D86</x:f>
        <x:v>College / events</x:v>
      </x:c>
      <x:c r="E86" s="127" t="n">
        <x:f>'100 Markets'!E86</x:f>
        <x:v>401</x:v>
      </x:c>
      <x:c r="F86" s="128" t="n">
        <x:f>'100 Markets'!F86</x:f>
        <x:v>0.42</x:v>
      </x:c>
      <x:c r="G86" s="127" t="n">
        <x:f>'100 Markets'!G86</x:f>
        <x:v>24400</x:v>
      </x:c>
      <x:c r="H86" s="129" t="n">
        <x:f>'100 Markets'!I86</x:f>
        <x:v>1408</x:v>
      </x:c>
      <x:c r="I86" s="126" t="str">
        <x:f>'100 Markets'!L86</x:f>
        <x:v>Dated vendor benchmark; match property comps</x:v>
      </x:c>
      <x:c r="J86" s="126" t="str">
        <x:f>'100 Markets'!M86</x:f>
        <x:v>Restricted / location-dependent</x:v>
      </x:c>
    </x:row>
    <x:row r="87">
      <x:c r="A87" s="126" t="n">
        <x:f>'100 Markets'!A87</x:f>
        <x:v>81</x:v>
      </x:c>
      <x:c r="B87" s="126" t="str">
        <x:f>'100 Markets'!B87</x:f>
        <x:v>Flagstaff</x:v>
      </x:c>
      <x:c r="C87" s="126" t="str">
        <x:f>'100 Markets'!C87</x:f>
        <x:v>AZ</x:v>
      </x:c>
      <x:c r="D87" s="126" t="str">
        <x:f>'100 Markets'!D87</x:f>
        <x:v>National park / college</x:v>
      </x:c>
      <x:c r="E87" s="127" t="n">
        <x:f>'100 Markets'!E87</x:f>
        <x:v>268</x:v>
      </x:c>
      <x:c r="F87" s="128" t="n">
        <x:f>'100 Markets'!F87</x:f>
        <x:v>0.54</x:v>
      </x:c>
      <x:c r="G87" s="127" t="n">
        <x:f>'100 Markets'!G87</x:f>
        <x:v>32500</x:v>
      </x:c>
      <x:c r="H87" s="129" t="n">
        <x:f>'100 Markets'!I87</x:f>
        <x:v>2725</x:v>
      </x:c>
      <x:c r="I87" s="126" t="str">
        <x:f>'100 Markets'!L87</x:f>
        <x:v>Dated vendor benchmark; match property comps</x:v>
      </x:c>
      <x:c r="J87" s="126" t="str">
        <x:f>'100 Markets'!M87</x:f>
        <x:v>Permit path identified</x:v>
      </x:c>
    </x:row>
    <x:row r="88">
      <x:c r="A88" s="126" t="n">
        <x:f>'100 Markets'!A88</x:f>
        <x:v>82</x:v>
      </x:c>
      <x:c r="B88" s="126" t="str">
        <x:f>'100 Markets'!B88</x:f>
        <x:v>Sedona</x:v>
      </x:c>
      <x:c r="C88" s="126" t="str">
        <x:f>'100 Markets'!C88</x:f>
        <x:v>AZ</x:v>
      </x:c>
      <x:c r="D88" s="126" t="str">
        <x:f>'100 Markets'!D88</x:f>
        <x:v>Outdoor / premium</x:v>
      </x:c>
      <x:c r="E88" s="127" t="n">
        <x:f>'100 Markets'!E88</x:f>
        <x:v>371</x:v>
      </x:c>
      <x:c r="F88" s="128" t="n">
        <x:f>'100 Markets'!F88</x:f>
        <x:v>0.53</x:v>
      </x:c>
      <x:c r="G88" s="127" t="n">
        <x:f>'100 Markets'!G88</x:f>
        <x:v>47600</x:v>
      </x:c>
      <x:c r="H88" s="129" t="n">
        <x:f>'100 Markets'!I88</x:f>
        <x:v>4339</x:v>
      </x:c>
      <x:c r="I88" s="126" t="str">
        <x:f>'100 Markets'!L88</x:f>
        <x:v>Dated vendor benchmark; match property comps</x:v>
      </x:c>
      <x:c r="J88" s="126" t="str">
        <x:f>'100 Markets'!M88</x:f>
        <x:v>Permit path identified</x:v>
      </x:c>
    </x:row>
    <x:row r="89">
      <x:c r="A89" s="126" t="n">
        <x:f>'100 Markets'!A89</x:f>
        <x:v>83</x:v>
      </x:c>
      <x:c r="B89" s="126" t="str">
        <x:f>'100 Markets'!B89</x:f>
        <x:v>Scottsdale</x:v>
      </x:c>
      <x:c r="C89" s="126" t="str">
        <x:f>'100 Markets'!C89</x:f>
        <x:v>AZ</x:v>
      </x:c>
      <x:c r="D89" s="126" t="str">
        <x:f>'100 Markets'!D89</x:f>
        <x:v>Golf / premium</x:v>
      </x:c>
      <x:c r="E89" s="127" t="n">
        <x:f>'100 Markets'!E89</x:f>
        <x:v>441</x:v>
      </x:c>
      <x:c r="F89" s="128" t="n">
        <x:f>'100 Markets'!F89</x:f>
        <x:v>0.57</x:v>
      </x:c>
      <x:c r="G89" s="127" t="n">
        <x:f>'100 Markets'!G89</x:f>
        <x:v>48146</x:v>
      </x:c>
      <x:c r="H89" s="129" t="n">
        <x:f>'100 Markets'!I89</x:f>
        <x:v>3135</x:v>
      </x:c>
      <x:c r="I89" s="126" t="str">
        <x:f>'100 Markets'!L89</x:f>
        <x:v>ALTERNATE PROVIDER USED</x:v>
      </x:c>
      <x:c r="J89" s="126" t="str">
        <x:f>'100 Markets'!M89</x:f>
        <x:v>Permit path identified</x:v>
      </x:c>
    </x:row>
    <x:row r="90">
      <x:c r="A90" s="126" t="n">
        <x:f>'100 Markets'!A90</x:f>
        <x:v>84</x:v>
      </x:c>
      <x:c r="B90" s="126" t="str">
        <x:f>'100 Markets'!B90</x:f>
        <x:v>Tucson</x:v>
      </x:c>
      <x:c r="C90" s="126" t="str">
        <x:f>'100 Markets'!C90</x:f>
        <x:v>AZ</x:v>
      </x:c>
      <x:c r="D90" s="126" t="str">
        <x:f>'100 Markets'!D90</x:f>
        <x:v>Winter / college</x:v>
      </x:c>
      <x:c r="E90" s="127" t="n">
        <x:f>'100 Markets'!E90</x:f>
        <x:v>163</x:v>
      </x:c>
      <x:c r="F90" s="128" t="n">
        <x:f>'100 Markets'!F90</x:f>
        <x:v>0.6</x:v>
      </x:c>
      <x:c r="G90" s="127" t="n">
        <x:f>'100 Markets'!G90</x:f>
        <x:v>31400</x:v>
      </x:c>
      <x:c r="H90" s="129" t="n">
        <x:f>'100 Markets'!I90</x:f>
        <x:v>3709</x:v>
      </x:c>
      <x:c r="I90" s="126" t="str">
        <x:f>'100 Markets'!L90</x:f>
        <x:v>LARGE SUPPLY CHANGE: CHECK COVERAGE</x:v>
      </x:c>
      <x:c r="J90" s="126" t="str">
        <x:f>'100 Markets'!M90</x:f>
        <x:v>Local review not completed</x:v>
      </x:c>
    </x:row>
    <x:row r="91">
      <x:c r="A91" s="126" t="n">
        <x:f>'100 Markets'!A91</x:f>
        <x:v>85</x:v>
      </x:c>
      <x:c r="B91" s="126" t="str">
        <x:f>'100 Markets'!B91</x:f>
        <x:v>Joshua Tree</x:v>
      </x:c>
      <x:c r="C91" s="126" t="str">
        <x:f>'100 Markets'!C91</x:f>
        <x:v>CA</x:v>
      </x:c>
      <x:c r="D91" s="126" t="str">
        <x:f>'100 Markets'!D91</x:f>
        <x:v>Desert / national park</x:v>
      </x:c>
      <x:c r="E91" s="127" t="n">
        <x:f>'100 Markets'!E91</x:f>
        <x:v>301</x:v>
      </x:c>
      <x:c r="F91" s="128" t="n">
        <x:f>'100 Markets'!F91</x:f>
        <x:v>0.53</x:v>
      </x:c>
      <x:c r="G91" s="127" t="n">
        <x:f>'100 Markets'!G91</x:f>
        <x:v>42600</x:v>
      </x:c>
      <x:c r="H91" s="129" t="n">
        <x:f>'100 Markets'!I91</x:f>
        <x:v>1566</x:v>
      </x:c>
      <x:c r="I91" s="126" t="str">
        <x:f>'100 Markets'!L91</x:f>
        <x:v>Dated vendor benchmark; match property comps</x:v>
      </x:c>
      <x:c r="J91" s="126" t="str">
        <x:f>'100 Markets'!M91</x:f>
        <x:v>Permit path identified</x:v>
      </x:c>
    </x:row>
    <x:row r="92">
      <x:c r="A92" s="126" t="n">
        <x:f>'100 Markets'!A92</x:f>
        <x:v>86</x:v>
      </x:c>
      <x:c r="B92" s="126" t="str">
        <x:f>'100 Markets'!B92</x:f>
        <x:v>Big Bear Lake</x:v>
      </x:c>
      <x:c r="C92" s="126" t="str">
        <x:f>'100 Markets'!C92</x:f>
        <x:v>CA</x:v>
      </x:c>
      <x:c r="D92" s="126" t="str">
        <x:f>'100 Markets'!D92</x:f>
        <x:v>Lake / ski</x:v>
      </x:c>
      <x:c r="E92" s="127" t="n">
        <x:f>'100 Markets'!E92</x:f>
        <x:v>434</x:v>
      </x:c>
      <x:c r="F92" s="128" t="n">
        <x:f>'100 Markets'!F92</x:f>
        <x:v>0.34</x:v>
      </x:c>
      <x:c r="G92" s="127" t="n">
        <x:f>'100 Markets'!G92</x:f>
        <x:v>30800</x:v>
      </x:c>
      <x:c r="H92" s="129" t="n">
        <x:f>'100 Markets'!I92</x:f>
        <x:v>4119</x:v>
      </x:c>
      <x:c r="I92" s="126" t="str">
        <x:f>'100 Markets'!L92</x:f>
        <x:v>Dated vendor benchmark; match property comps</x:v>
      </x:c>
      <x:c r="J92" s="126" t="str">
        <x:f>'100 Markets'!M92</x:f>
        <x:v>Local review not completed</x:v>
      </x:c>
    </x:row>
    <x:row r="93">
      <x:c r="A93" s="126" t="n">
        <x:f>'100 Markets'!A93</x:f>
        <x:v>87</x:v>
      </x:c>
      <x:c r="B93" s="126" t="str">
        <x:f>'100 Markets'!B93</x:f>
        <x:v>Palm Springs</x:v>
      </x:c>
      <x:c r="C93" s="126" t="str">
        <x:f>'100 Markets'!C93</x:f>
        <x:v>CA</x:v>
      </x:c>
      <x:c r="D93" s="126" t="str">
        <x:f>'100 Markets'!D93</x:f>
        <x:v>Desert / premium</x:v>
      </x:c>
      <x:c r="E93" s="127" t="n">
        <x:f>'100 Markets'!E93</x:f>
        <x:v>478</x:v>
      </x:c>
      <x:c r="F93" s="128" t="n">
        <x:f>'100 Markets'!F93</x:f>
        <x:v>0.5</x:v>
      </x:c>
      <x:c r="G93" s="127" t="n">
        <x:f>'100 Markets'!G93</x:f>
        <x:v>38600</x:v>
      </x:c>
      <x:c r="H93" s="129" t="n">
        <x:f>'100 Markets'!I93</x:f>
        <x:v>5924</x:v>
      </x:c>
      <x:c r="I93" s="126" t="str">
        <x:f>'100 Markets'!L93</x:f>
        <x:v>Dated vendor benchmark; match property comps</x:v>
      </x:c>
      <x:c r="J93" s="126" t="str">
        <x:f>'100 Markets'!M93</x:f>
        <x:v>Restricted / location-dependent</x:v>
      </x:c>
    </x:row>
    <x:row r="94">
      <x:c r="A94" s="126" t="n">
        <x:f>'100 Markets'!A94</x:f>
        <x:v>88</x:v>
      </x:c>
      <x:c r="B94" s="126" t="str">
        <x:f>'100 Markets'!B94</x:f>
        <x:v>Mammoth Lakes</x:v>
      </x:c>
      <x:c r="C94" s="126" t="str">
        <x:f>'100 Markets'!C94</x:f>
        <x:v>CA</x:v>
      </x:c>
      <x:c r="D94" s="126" t="str">
        <x:f>'100 Markets'!D94</x:f>
        <x:v>Mountain / ski</x:v>
      </x:c>
      <x:c r="E94" s="127" t="n">
        <x:f>'100 Markets'!E94</x:f>
        <x:v>466</x:v>
      </x:c>
      <x:c r="F94" s="128" t="n">
        <x:f>'100 Markets'!F94</x:f>
        <x:v>0.45</x:v>
      </x:c>
      <x:c r="G94" s="127" t="n">
        <x:f>'100 Markets'!G94</x:f>
        <x:v>45600</x:v>
      </x:c>
      <x:c r="H94" s="129" t="n">
        <x:f>'100 Markets'!I94</x:f>
        <x:v>3966</x:v>
      </x:c>
      <x:c r="I94" s="126" t="str">
        <x:f>'100 Markets'!L94</x:f>
        <x:v>Dated vendor benchmark; match property comps</x:v>
      </x:c>
      <x:c r="J94" s="126" t="str">
        <x:f>'100 Markets'!M94</x:f>
        <x:v>Local review not completed</x:v>
      </x:c>
    </x:row>
    <x:row r="95">
      <x:c r="A95" s="126" t="n">
        <x:f>'100 Markets'!A95</x:f>
        <x:v>89</x:v>
      </x:c>
      <x:c r="B95" s="126" t="str">
        <x:f>'100 Markets'!B95</x:f>
        <x:v>Breckenridge</x:v>
      </x:c>
      <x:c r="C95" s="126" t="str">
        <x:f>'100 Markets'!C95</x:f>
        <x:v>CO</x:v>
      </x:c>
      <x:c r="D95" s="126" t="str">
        <x:f>'100 Markets'!D95</x:f>
        <x:v>Mountain / ski</x:v>
      </x:c>
      <x:c r="E95" s="127" t="n">
        <x:f>'100 Markets'!E95</x:f>
        <x:v>581</x:v>
      </x:c>
      <x:c r="F95" s="128" t="n">
        <x:f>'100 Markets'!F95</x:f>
        <x:v>0.51</x:v>
      </x:c>
      <x:c r="G95" s="127" t="n">
        <x:f>'100 Markets'!G95</x:f>
        <x:v>83400</x:v>
      </x:c>
      <x:c r="H95" s="129" t="n">
        <x:f>'100 Markets'!I95</x:f>
        <x:v>3289</x:v>
      </x:c>
      <x:c r="I95" s="126" t="str">
        <x:f>'100 Markets'!L95</x:f>
        <x:v>LARGE SUPPLY CHANGE: CHECK COVERAGE</x:v>
      </x:c>
      <x:c r="J95" s="126" t="str">
        <x:f>'100 Markets'!M95</x:f>
        <x:v>Restricted / location-dependent</x:v>
      </x:c>
    </x:row>
    <x:row r="96">
      <x:c r="A96" s="126" t="n">
        <x:f>'100 Markets'!A96</x:f>
        <x:v>90</x:v>
      </x:c>
      <x:c r="B96" s="126" t="str">
        <x:f>'100 Markets'!B96</x:f>
        <x:v>Estes Park</x:v>
      </x:c>
      <x:c r="C96" s="126" t="str">
        <x:f>'100 Markets'!C96</x:f>
        <x:v>CO</x:v>
      </x:c>
      <x:c r="D96" s="126" t="str">
        <x:f>'100 Markets'!D96</x:f>
        <x:v>National park gateway</x:v>
      </x:c>
      <x:c r="E96" s="127" t="n">
        <x:f>'100 Markets'!E96</x:f>
        <x:v>446</x:v>
      </x:c>
      <x:c r="F96" s="128" t="n">
        <x:f>'100 Markets'!F96</x:f>
        <x:v>0.57</x:v>
      </x:c>
      <x:c r="G96" s="127" t="n">
        <x:f>'100 Markets'!G96</x:f>
        <x:v>53500</x:v>
      </x:c>
      <x:c r="H96" s="129" t="n">
        <x:f>'100 Markets'!I96</x:f>
        <x:v>2106</x:v>
      </x:c>
      <x:c r="I96" s="126" t="str">
        <x:f>'100 Markets'!L96</x:f>
        <x:v>Dated vendor benchmark; match property comps</x:v>
      </x:c>
      <x:c r="J96" s="126" t="str">
        <x:f>'100 Markets'!M96</x:f>
        <x:v>Restricted / location-dependent</x:v>
      </x:c>
    </x:row>
    <x:row r="97">
      <x:c r="A97" s="126" t="n">
        <x:f>'100 Markets'!A97</x:f>
        <x:v>91</x:v>
      </x:c>
      <x:c r="B97" s="126" t="str">
        <x:f>'100 Markets'!B97</x:f>
        <x:v>Pagosa Springs</x:v>
      </x:c>
      <x:c r="C97" s="126" t="str">
        <x:f>'100 Markets'!C97</x:f>
        <x:v>CO</x:v>
      </x:c>
      <x:c r="D97" s="126" t="str">
        <x:f>'100 Markets'!D97</x:f>
        <x:v>Mountain / wellness</x:v>
      </x:c>
      <x:c r="E97" s="127" t="n">
        <x:f>'100 Markets'!E97</x:f>
        <x:v>256</x:v>
      </x:c>
      <x:c r="F97" s="128" t="n">
        <x:f>'100 Markets'!F97</x:f>
        <x:v>0.48</x:v>
      </x:c>
      <x:c r="G97" s="127" t="n">
        <x:f>'100 Markets'!G97</x:f>
        <x:v>23500</x:v>
      </x:c>
      <x:c r="H97" s="129" t="n">
        <x:f>'100 Markets'!I97</x:f>
        <x:v>1648</x:v>
      </x:c>
      <x:c r="I97" s="126" t="str">
        <x:f>'100 Markets'!L97</x:f>
        <x:v>Dated vendor benchmark; match property comps</x:v>
      </x:c>
      <x:c r="J97" s="126" t="str">
        <x:f>'100 Markets'!M97</x:f>
        <x:v>Local review not completed</x:v>
      </x:c>
    </x:row>
    <x:row r="98">
      <x:c r="A98" s="126" t="n">
        <x:f>'100 Markets'!A98</x:f>
        <x:v>92</x:v>
      </x:c>
      <x:c r="B98" s="126" t="str">
        <x:f>'100 Markets'!B98</x:f>
        <x:v>Durango</x:v>
      </x:c>
      <x:c r="C98" s="126" t="str">
        <x:f>'100 Markets'!C98</x:f>
        <x:v>CO</x:v>
      </x:c>
      <x:c r="D98" s="126" t="str">
        <x:f>'100 Markets'!D98</x:f>
        <x:v>Mountain / outdoor</x:v>
      </x:c>
      <x:c r="E98" s="127" t="n">
        <x:f>'100 Markets'!E98</x:f>
        <x:v>366.7</x:v>
      </x:c>
      <x:c r="F98" s="128" t="n">
        <x:f>'100 Markets'!F98</x:f>
        <x:v>0.48</x:v>
      </x:c>
      <x:c r="G98" s="127" t="n">
        <x:f>'100 Markets'!G98</x:f>
        <x:v>34200</x:v>
      </x:c>
      <x:c r="H98" s="129" t="n">
        <x:f>'100 Markets'!I98</x:f>
        <x:v>1721</x:v>
      </x:c>
      <x:c r="I98" s="126" t="str">
        <x:f>'100 Markets'!L98</x:f>
        <x:v>UNDATED SNAPSHOT</x:v>
      </x:c>
      <x:c r="J98" s="126" t="str">
        <x:f>'100 Markets'!M98</x:f>
        <x:v>Local review not completed</x:v>
      </x:c>
    </x:row>
    <x:row r="99">
      <x:c r="A99" s="126" t="n">
        <x:f>'100 Markets'!A99</x:f>
        <x:v>93</x:v>
      </x:c>
      <x:c r="B99" s="126" t="str">
        <x:f>'100 Markets'!B99</x:f>
        <x:v>Park City</x:v>
      </x:c>
      <x:c r="C99" s="126" t="str">
        <x:f>'100 Markets'!C99</x:f>
        <x:v>UT</x:v>
      </x:c>
      <x:c r="D99" s="126" t="str">
        <x:f>'100 Markets'!D99</x:f>
        <x:v>Mountain / ski</x:v>
      </x:c>
      <x:c r="E99" s="127" t="n">
        <x:f>'100 Markets'!E99</x:f>
        <x:v>897</x:v>
      </x:c>
      <x:c r="F99" s="128" t="n">
        <x:f>'100 Markets'!F99</x:f>
        <x:v>0.45</x:v>
      </x:c>
      <x:c r="G99" s="127" t="n">
        <x:f>'100 Markets'!G99</x:f>
        <x:v>50600</x:v>
      </x:c>
      <x:c r="H99" s="129" t="n">
        <x:f>'100 Markets'!I99</x:f>
        <x:v>7506</x:v>
      </x:c>
      <x:c r="I99" s="126" t="str">
        <x:f>'100 Markets'!L99</x:f>
        <x:v>Dated vendor benchmark; match property comps</x:v>
      </x:c>
      <x:c r="J99" s="126" t="str">
        <x:f>'100 Markets'!M99</x:f>
        <x:v>Local review not completed</x:v>
      </x:c>
    </x:row>
    <x:row r="100">
      <x:c r="A100" s="126" t="n">
        <x:f>'100 Markets'!A100</x:f>
        <x:v>94</x:v>
      </x:c>
      <x:c r="B100" s="126" t="str">
        <x:f>'100 Markets'!B100</x:f>
        <x:v>Hurricane</x:v>
      </x:c>
      <x:c r="C100" s="126" t="str">
        <x:f>'100 Markets'!C100</x:f>
        <x:v>UT</x:v>
      </x:c>
      <x:c r="D100" s="126" t="str">
        <x:f>'100 Markets'!D100</x:f>
        <x:v>National park gateway</x:v>
      </x:c>
      <x:c r="E100" s="127" t="n">
        <x:f>'100 Markets'!E100</x:f>
        <x:v>350</x:v>
      </x:c>
      <x:c r="F100" s="128" t="n">
        <x:f>'100 Markets'!F100</x:f>
        <x:v>0.5</x:v>
      </x:c>
      <x:c r="G100" s="127" t="n">
        <x:f>'100 Markets'!G100</x:f>
        <x:v>37600</x:v>
      </x:c>
      <x:c r="H100" s="129" t="n">
        <x:f>'100 Markets'!I100</x:f>
        <x:v>1329</x:v>
      </x:c>
      <x:c r="I100" s="126" t="str">
        <x:f>'100 Markets'!L100</x:f>
        <x:v>Dated vendor benchmark; match property comps</x:v>
      </x:c>
      <x:c r="J100" s="126" t="str">
        <x:f>'100 Markets'!M100</x:f>
        <x:v>Local review not completed</x:v>
      </x:c>
    </x:row>
    <x:row r="101">
      <x:c r="A101" s="126" t="n">
        <x:f>'100 Markets'!A101</x:f>
        <x:v>95</x:v>
      </x:c>
      <x:c r="B101" s="126" t="str">
        <x:f>'100 Markets'!B101</x:f>
        <x:v>Moab</x:v>
      </x:c>
      <x:c r="C101" s="126" t="str">
        <x:f>'100 Markets'!C101</x:f>
        <x:v>UT</x:v>
      </x:c>
      <x:c r="D101" s="126" t="str">
        <x:f>'100 Markets'!D101</x:f>
        <x:v>National park gateway</x:v>
      </x:c>
      <x:c r="E101" s="127" t="n">
        <x:f>'100 Markets'!E101</x:f>
        <x:v>302</x:v>
      </x:c>
      <x:c r="F101" s="128" t="n">
        <x:f>'100 Markets'!F101</x:f>
        <x:v>0.57</x:v>
      </x:c>
      <x:c r="G101" s="127" t="n">
        <x:f>'100 Markets'!G101</x:f>
        <x:v>55800</x:v>
      </x:c>
      <x:c r="H101" s="129" t="n">
        <x:f>'100 Markets'!I101</x:f>
        <x:v>1347</x:v>
      </x:c>
      <x:c r="I101" s="126" t="str">
        <x:f>'100 Markets'!L101</x:f>
        <x:v>Dated vendor benchmark; match property comps</x:v>
      </x:c>
      <x:c r="J101" s="126" t="str">
        <x:f>'100 Markets'!M101</x:f>
        <x:v>Local review not completed</x:v>
      </x:c>
    </x:row>
    <x:row r="102">
      <x:c r="A102" s="126" t="n">
        <x:f>'100 Markets'!A102</x:f>
        <x:v>96</x:v>
      </x:c>
      <x:c r="B102" s="126" t="str">
        <x:f>'100 Markets'!B102</x:f>
        <x:v>Whitefish</x:v>
      </x:c>
      <x:c r="C102" s="126" t="str">
        <x:f>'100 Markets'!C102</x:f>
        <x:v>MT</x:v>
      </x:c>
      <x:c r="D102" s="126" t="str">
        <x:f>'100 Markets'!D102</x:f>
        <x:v>Mountain / ski</x:v>
      </x:c>
      <x:c r="E102" s="127" t="n">
        <x:f>'100 Markets'!E102</x:f>
        <x:v>297</x:v>
      </x:c>
      <x:c r="F102" s="128" t="n">
        <x:f>'100 Markets'!F102</x:f>
        <x:v>0.62</x:v>
      </x:c>
      <x:c r="G102" s="127" t="n">
        <x:f>'100 Markets'!G102</x:f>
        <x:v>43200</x:v>
      </x:c>
      <x:c r="H102" s="129" t="n">
        <x:f>'100 Markets'!I102</x:f>
        <x:v>810</x:v>
      </x:c>
      <x:c r="I102" s="126" t="str">
        <x:f>'100 Markets'!L102</x:f>
        <x:v>LARGE SUPPLY CHANGE: CHECK COVERAGE</x:v>
      </x:c>
      <x:c r="J102" s="126" t="str">
        <x:f>'100 Markets'!M102</x:f>
        <x:v>Restricted / location-dependent</x:v>
      </x:c>
    </x:row>
    <x:row r="103">
      <x:c r="A103" s="126" t="n">
        <x:f>'100 Markets'!A103</x:f>
        <x:v>97</x:v>
      </x:c>
      <x:c r="B103" s="126" t="str">
        <x:f>'100 Markets'!B103</x:f>
        <x:v>West Yellowstone</x:v>
      </x:c>
      <x:c r="C103" s="126" t="str">
        <x:f>'100 Markets'!C103</x:f>
        <x:v>MT</x:v>
      </x:c>
      <x:c r="D103" s="126" t="str">
        <x:f>'100 Markets'!D103</x:f>
        <x:v>National park gateway</x:v>
      </x:c>
      <x:c r="E103" s="127" t="n">
        <x:f>'100 Markets'!E103</x:f>
        <x:v>542.1</x:v>
      </x:c>
      <x:c r="F103" s="128" t="n">
        <x:f>'100 Markets'!F103</x:f>
        <x:v>0.6</x:v>
      </x:c>
      <x:c r="G103" s="127" t="n">
        <x:f>'100 Markets'!G103</x:f>
        <x:v>41200</x:v>
      </x:c>
      <x:c r="H103" s="129" t="n">
        <x:f>'100 Markets'!I103</x:f>
        <x:v>548</x:v>
      </x:c>
      <x:c r="I103" s="126" t="str">
        <x:f>'100 Markets'!L103</x:f>
        <x:v>UNDATED SNAPSHOT</x:v>
      </x:c>
      <x:c r="J103" s="126" t="str">
        <x:f>'100 Markets'!M103</x:f>
        <x:v>Local review not completed</x:v>
      </x:c>
    </x:row>
    <x:row r="104">
      <x:c r="A104" s="126" t="n">
        <x:f>'100 Markets'!A104</x:f>
        <x:v>98</x:v>
      </x:c>
      <x:c r="B104" s="126" t="str">
        <x:f>'100 Markets'!B104</x:f>
        <x:v>Bend</x:v>
      </x:c>
      <x:c r="C104" s="126" t="str">
        <x:f>'100 Markets'!C104</x:f>
        <x:v>OR</x:v>
      </x:c>
      <x:c r="D104" s="126" t="str">
        <x:f>'100 Markets'!D104</x:f>
        <x:v>Outdoor / business</x:v>
      </x:c>
      <x:c r="E104" s="127" t="n">
        <x:f>'100 Markets'!E104</x:f>
        <x:v>363</x:v>
      </x:c>
      <x:c r="F104" s="128" t="n">
        <x:f>'100 Markets'!F104</x:f>
        <x:v>0.53</x:v>
      </x:c>
      <x:c r="G104" s="127" t="n">
        <x:f>'100 Markets'!G104</x:f>
        <x:v>35800</x:v>
      </x:c>
      <x:c r="H104" s="129" t="n">
        <x:f>'100 Markets'!I104</x:f>
        <x:v>5159</x:v>
      </x:c>
      <x:c r="I104" s="126" t="str">
        <x:f>'100 Markets'!L104</x:f>
        <x:v>Dated vendor benchmark; match property comps</x:v>
      </x:c>
      <x:c r="J104" s="126" t="str">
        <x:f>'100 Markets'!M104</x:f>
        <x:v>Restricted / location-dependent</x:v>
      </x:c>
    </x:row>
    <x:row r="105">
      <x:c r="A105" s="126" t="n">
        <x:f>'100 Markets'!A105</x:f>
        <x:v>99</x:v>
      </x:c>
      <x:c r="B105" s="126" t="str">
        <x:f>'100 Markets'!B105</x:f>
        <x:v>Lincoln City</x:v>
      </x:c>
      <x:c r="C105" s="126" t="str">
        <x:f>'100 Markets'!C105</x:f>
        <x:v>OR</x:v>
      </x:c>
      <x:c r="D105" s="126" t="str">
        <x:f>'100 Markets'!D105</x:f>
        <x:v>Beach / drive-to</x:v>
      </x:c>
      <x:c r="E105" s="127" t="n">
        <x:f>'100 Markets'!E105</x:f>
        <x:v>308</x:v>
      </x:c>
      <x:c r="F105" s="128" t="n">
        <x:f>'100 Markets'!F105</x:f>
        <x:v>0.56</x:v>
      </x:c>
      <x:c r="G105" s="127" t="n">
        <x:f>'100 Markets'!G105</x:f>
        <x:v>42800</x:v>
      </x:c>
      <x:c r="H105" s="129" t="n">
        <x:f>'100 Markets'!I105</x:f>
        <x:v>1462</x:v>
      </x:c>
      <x:c r="I105" s="126" t="str">
        <x:f>'100 Markets'!L105</x:f>
        <x:v>Dated vendor benchmark; match property comps</x:v>
      </x:c>
      <x:c r="J105" s="126" t="str">
        <x:f>'100 Markets'!M105</x:f>
        <x:v>Local review not completed</x:v>
      </x:c>
    </x:row>
    <x:row r="106">
      <x:c r="A106" s="126" t="n">
        <x:f>'100 Markets'!A106</x:f>
        <x:v>100</x:v>
      </x:c>
      <x:c r="B106" s="126" t="str">
        <x:f>'100 Markets'!B106</x:f>
        <x:v>Bar Harbor</x:v>
      </x:c>
      <x:c r="C106" s="126" t="str">
        <x:f>'100 Markets'!C106</x:f>
        <x:v>ME</x:v>
      </x:c>
      <x:c r="D106" s="126" t="str">
        <x:f>'100 Markets'!D106</x:f>
        <x:v>National park gateway</x:v>
      </x:c>
      <x:c r="E106" s="127" t="n">
        <x:f>'100 Markets'!E106</x:f>
        <x:v>447</x:v>
      </x:c>
      <x:c r="F106" s="128" t="n">
        <x:f>'100 Markets'!F106</x:f>
        <x:v>0.75</x:v>
      </x:c>
      <x:c r="G106" s="127" t="n">
        <x:f>'100 Markets'!G106</x:f>
        <x:v>43000</x:v>
      </x:c>
      <x:c r="H106" s="129" t="n">
        <x:f>'100 Markets'!I106</x:f>
        <x:v>866</x:v>
      </x:c>
      <x:c r="I106" s="126" t="str">
        <x:f>'100 Markets'!L106</x:f>
        <x:v>Dated vendor benchmark; match property comps</x:v>
      </x:c>
      <x:c r="J106" s="126" t="str">
        <x:f>'100 Markets'!M106</x:f>
        <x:v>Restricted / location-dependent</x:v>
      </x:c>
    </x:row>
    <x:row r="107">
      <x:c r="A107" s="118"/>
      <x:c r="B107" s="118"/>
      <x:c r="C107" s="118"/>
      <x:c r="D107" s="118"/>
      <x:c r="E107" s="118"/>
      <x:c r="F107" s="118"/>
      <x:c r="G107" s="118"/>
      <x:c r="H107" s="118"/>
      <x:c r="I107" s="118"/>
      <x:c r="J107" s="118"/>
    </x:row>
    <x:row r="108">
      <x:c r="A108" s="118"/>
      <x:c r="B108" s="118"/>
      <x:c r="C108" s="118"/>
      <x:c r="D108" s="118"/>
      <x:c r="E108" s="118"/>
      <x:c r="F108" s="118"/>
      <x:c r="G108" s="118"/>
      <x:c r="H108" s="118"/>
      <x:c r="I108" s="118"/>
      <x:c r="J108" s="118"/>
    </x:row>
  </x:sheetData>
  <x:mergeCells>
    <x:mergeCell ref="A1:J2"/>
    <x:mergeCell ref="A3:J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2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120" t="str">
        <x:v>Market Explorer</x:v>
      </x:c>
      <x:c r="B1" s="120"/>
      <x:c r="C1" s="120"/>
      <x:c r="D1" s="120"/>
      <x:c r="E1" s="120"/>
      <x:c r="F1" s="120"/>
      <x:c r="G1" s="120"/>
      <x:c r="H1" s="120"/>
    </x:row>
    <x:row r="2">
      <x:c r="A2" s="120"/>
      <x:c r="B2" s="120"/>
      <x:c r="C2" s="120"/>
      <x:c r="D2" s="120"/>
      <x:c r="E2" s="120"/>
      <x:c r="F2" s="120"/>
      <x:c r="G2" s="120"/>
      <x:c r="H2" s="120"/>
    </x:row>
    <x:row r="3">
      <x:c r="A3" s="121" t="str">
        <x:v>Enter a market ID from 1 to 100. This view pulls the key benchmark, thesis and regulation notes together.</x:v>
      </x:c>
      <x:c r="B3" s="121"/>
      <x:c r="C3" s="121"/>
      <x:c r="D3" s="121"/>
      <x:c r="E3" s="121"/>
      <x:c r="F3" s="121"/>
      <x:c r="G3" s="121"/>
      <x:c r="H3" s="121"/>
    </x:row>
    <x:row r="4">
      <x:c r="A4" s="118"/>
      <x:c r="B4" s="118"/>
      <x:c r="C4" s="118"/>
      <x:c r="D4" s="118"/>
      <x:c r="E4" s="118"/>
      <x:c r="F4" s="118"/>
      <x:c r="G4" s="118"/>
      <x:c r="H4" s="118"/>
    </x:row>
    <x:row r="5">
      <x:c r="A5" s="131" t="str">
        <x:v>MARKET ID</x:v>
      </x:c>
      <x:c r="B5" s="132" t="n">
        <x:v>1</x:v>
      </x:c>
      <x:c r="C5" s="118"/>
      <x:c r="D5" s="118"/>
      <x:c r="E5" s="118"/>
      <x:c r="F5" s="118"/>
      <x:c r="G5" s="118"/>
      <x:c r="H5" s="118"/>
    </x:row>
    <x:row r="6">
      <x:c r="A6" s="118"/>
      <x:c r="B6" s="118"/>
      <x:c r="C6" s="118"/>
      <x:c r="D6" s="118"/>
      <x:c r="E6" s="118"/>
      <x:c r="F6" s="118"/>
      <x:c r="G6" s="118"/>
      <x:c r="H6" s="118"/>
    </x:row>
    <x:row r="7" ht="28" customHeight="1">
      <x:c r="A7" s="133" t="str">
        <x:v>Market</x:v>
      </x:c>
      <x:c r="B7" s="133"/>
      <x:c r="C7" s="133"/>
      <x:c r="D7" s="135" t="str">
        <x:f>IFERROR(VLOOKUP($B$5,'100 Markets'!$A$7:$M$106,2,FALSE),"")</x:f>
        <x:v>Sevierville</x:v>
      </x:c>
      <x:c r="E7" s="135"/>
      <x:c r="F7" s="135"/>
      <x:c r="G7" s="135"/>
      <x:c r="H7" s="135"/>
    </x:row>
    <x:row r="8" ht="28" customHeight="1">
      <x:c r="A8" s="133" t="str">
        <x:v>State</x:v>
      </x:c>
      <x:c r="B8" s="133"/>
      <x:c r="C8" s="133"/>
      <x:c r="D8" s="135" t="str">
        <x:f>IFERROR(VLOOKUP($B$5,'100 Markets'!$A$7:$M$106,3,FALSE),"")</x:f>
        <x:v>TN</x:v>
      </x:c>
      <x:c r="E8" s="135"/>
      <x:c r="F8" s="135"/>
      <x:c r="G8" s="135"/>
      <x:c r="H8" s="135"/>
    </x:row>
    <x:row r="9" ht="28" customHeight="1">
      <x:c r="A9" s="133" t="str">
        <x:v>Market type</x:v>
      </x:c>
      <x:c r="B9" s="133"/>
      <x:c r="C9" s="133"/>
      <x:c r="D9" s="135" t="str">
        <x:f>IFERROR(VLOOKUP($B$5,'100 Markets'!$A$7:$M$106,4,FALSE),"")</x:f>
        <x:v>Mountain</x:v>
      </x:c>
      <x:c r="E9" s="135"/>
      <x:c r="F9" s="135"/>
      <x:c r="G9" s="135"/>
      <x:c r="H9" s="135"/>
    </x:row>
    <x:row r="10">
      <x:c r="A10" s="118"/>
      <x:c r="B10" s="118"/>
      <x:c r="C10" s="118"/>
      <x:c r="D10" s="118"/>
      <x:c r="E10" s="118"/>
      <x:c r="F10" s="118"/>
      <x:c r="G10" s="118"/>
      <x:c r="H10" s="118"/>
    </x:row>
    <x:row r="11" ht="28" customHeight="1">
      <x:c r="A11" s="133" t="str">
        <x:v>ADR</x:v>
      </x:c>
      <x:c r="B11" s="133"/>
      <x:c r="C11" s="133"/>
      <x:c r="D11" s="136" t="n">
        <x:f>IFERROR(VLOOKUP($B$5,'100 Markets'!$A$7:$M$106,5,FALSE),"")</x:f>
        <x:v>363</x:v>
      </x:c>
      <x:c r="E11" s="136"/>
      <x:c r="F11" s="136"/>
      <x:c r="G11" s="136"/>
      <x:c r="H11" s="136"/>
    </x:row>
    <x:row r="12" ht="28" customHeight="1">
      <x:c r="A12" s="133" t="str">
        <x:v>Occupancy</x:v>
      </x:c>
      <x:c r="B12" s="133"/>
      <x:c r="C12" s="133"/>
      <x:c r="D12" s="137" t="n">
        <x:f>IFERROR(VLOOKUP($B$5,'100 Markets'!$A$7:$M$106,6,FALSE),"")</x:f>
        <x:v>0.57</x:v>
      </x:c>
      <x:c r="E12" s="137"/>
      <x:c r="F12" s="137"/>
      <x:c r="G12" s="137"/>
      <x:c r="H12" s="137"/>
    </x:row>
    <x:row r="13" ht="28" customHeight="1">
      <x:c r="A13" s="133" t="str">
        <x:v>Annual revenue</x:v>
      </x:c>
      <x:c r="B13" s="133"/>
      <x:c r="C13" s="133"/>
      <x:c r="D13" s="136" t="n">
        <x:f>IFERROR(VLOOKUP($B$5,'100 Markets'!$A$7:$M$106,7,FALSE),"")</x:f>
        <x:v>69900</x:v>
      </x:c>
      <x:c r="E13" s="136"/>
      <x:c r="F13" s="136"/>
      <x:c r="G13" s="136"/>
      <x:c r="H13" s="136"/>
    </x:row>
    <x:row r="14" ht="28" customHeight="1">
      <x:c r="A14" s="133" t="str">
        <x:v>Active listings</x:v>
      </x:c>
      <x:c r="B14" s="133"/>
      <x:c r="C14" s="133"/>
      <x:c r="D14" s="138" t="n">
        <x:f>IFERROR(VLOOKUP($B$5,'100 Markets'!$A$7:$M$106,9,FALSE),"")</x:f>
        <x:v>7592</x:v>
      </x:c>
      <x:c r="E14" s="138"/>
      <x:c r="F14" s="138"/>
      <x:c r="G14" s="138"/>
      <x:c r="H14" s="138"/>
    </x:row>
    <x:row r="15" ht="28" customHeight="1">
      <x:c r="A15" s="133" t="str">
        <x:v>Observation period</x:v>
      </x:c>
      <x:c r="B15" s="133"/>
      <x:c r="C15" s="133"/>
      <x:c r="D15" s="135" t="str">
        <x:f>IFERROR(VLOOKUP($B$5,'100 Markets'!$A$7:$M$106,10,FALSE),"")</x:f>
        <x:v>2026-07</x:v>
      </x:c>
      <x:c r="E15" s="135"/>
      <x:c r="F15" s="135"/>
      <x:c r="G15" s="135"/>
      <x:c r="H15" s="135"/>
    </x:row>
    <x:row r="16">
      <x:c r="A16" s="118"/>
      <x:c r="B16" s="118"/>
      <x:c r="C16" s="118"/>
      <x:c r="D16" s="118"/>
      <x:c r="E16" s="118"/>
      <x:c r="F16" s="118"/>
      <x:c r="G16" s="118"/>
      <x:c r="H16" s="118"/>
    </x:row>
    <x:row r="17" ht="46" customHeight="1">
      <x:c r="A17" s="133" t="str">
        <x:v>Demand drivers to validate</x:v>
      </x:c>
      <x:c r="B17" s="133"/>
      <x:c r="C17" s="133"/>
      <x:c r="D17" s="135" t="str">
        <x:f>IFERROR(VLOOKUP($B$5,'Research Theses'!$A$7:$J$106,4,FALSE),"")</x:f>
        <x:v>Smoky Mountains access; cabin and family leisure</x:v>
      </x:c>
      <x:c r="E17" s="135"/>
      <x:c r="F17" s="135"/>
      <x:c r="G17" s="135"/>
      <x:c r="H17" s="135"/>
    </x:row>
    <x:row r="18" ht="28" customHeight="1">
      <x:c r="A18" s="133" t="str">
        <x:v>Likely guest niche</x:v>
      </x:c>
      <x:c r="B18" s="133"/>
      <x:c r="C18" s="133"/>
      <x:c r="D18" s="135" t="str">
        <x:f>IFERROR(VLOOKUP($B$5,'Research Theses'!$A$7:$J$106,5,FALSE),"")</x:f>
        <x:v>Families / groups</x:v>
      </x:c>
      <x:c r="E18" s="135"/>
      <x:c r="F18" s="135"/>
      <x:c r="G18" s="135"/>
      <x:c r="H18" s="135"/>
    </x:row>
    <x:row r="19" ht="28" customHeight="1">
      <x:c r="A19" s="133" t="str">
        <x:v>Opportunity lens</x:v>
      </x:c>
      <x:c r="B19" s="133"/>
      <x:c r="C19" s="133"/>
      <x:c r="D19" s="135" t="str">
        <x:f>IFERROR(VLOOKUP($B$5,'Research Theses'!$A$7:$J$106,7,FALSE),"")</x:f>
        <x:v>Balanced</x:v>
      </x:c>
      <x:c r="E19" s="135"/>
      <x:c r="F19" s="135"/>
      <x:c r="G19" s="135"/>
      <x:c r="H19" s="135"/>
    </x:row>
    <x:row r="20" ht="46" customHeight="1">
      <x:c r="A20" s="133" t="str">
        <x:v>Why research this market</x:v>
      </x:c>
      <x:c r="B20" s="133"/>
      <x:c r="C20" s="133"/>
      <x:c r="D20" s="135" t="str">
        <x:f>IFERROR(VLOOKUP($B$5,'Research Theses'!$A$7:$J$106,8,FALSE),"")</x:f>
        <x:v>Compare a cabin's all-in cost with matched drive-to vacation comps</x:v>
      </x:c>
      <x:c r="E20" s="135"/>
      <x:c r="F20" s="135"/>
      <x:c r="G20" s="135"/>
      <x:c r="H20" s="135"/>
    </x:row>
    <x:row r="21" ht="46" customHeight="1">
      <x:c r="A21" s="133" t="str">
        <x:v>Risks to investigate</x:v>
      </x:c>
      <x:c r="B21" s="133"/>
      <x:c r="C21" s="133"/>
      <x:c r="D21" s="135" t="str">
        <x:f>IFERROR(VLOOKUP($B$5,'Research Theses'!$A$7:$J$106,9,FALSE),"")</x:f>
        <x:v>Steep roads; septic capacity; wildfire insurance; cabin competition</x:v>
      </x:c>
      <x:c r="E21" s="135"/>
      <x:c r="F21" s="135"/>
      <x:c r="G21" s="135"/>
      <x:c r="H21" s="135"/>
    </x:row>
    <x:row r="22">
      <x:c r="A22" s="118"/>
      <x:c r="B22" s="118"/>
      <x:c r="C22" s="118"/>
      <x:c r="D22" s="118"/>
      <x:c r="E22" s="118"/>
      <x:c r="F22" s="118"/>
      <x:c r="G22" s="118"/>
      <x:c r="H22" s="118"/>
    </x:row>
    <x:row r="23" ht="28" customHeight="1">
      <x:c r="A23" s="133" t="str">
        <x:v>Regulatory screen</x:v>
      </x:c>
      <x:c r="B23" s="133"/>
      <x:c r="C23" s="133"/>
      <x:c r="D23" s="135" t="str">
        <x:f>IFERROR(VLOOKUP($B$5,'Regulation'!$A$7:$H$106,3,FALSE),"")</x:f>
        <x:v>Permit path identified</x:v>
      </x:c>
      <x:c r="E23" s="135"/>
      <x:c r="F23" s="135"/>
      <x:c r="G23" s="135"/>
      <x:c r="H23" s="135"/>
    </x:row>
    <x:row r="24" ht="46" customHeight="1">
      <x:c r="A24" s="133" t="str">
        <x:v>Reviewed official-source findings</x:v>
      </x:c>
      <x:c r="B24" s="133"/>
      <x:c r="C24" s="133"/>
      <x:c r="D24" s="135" t="str">
        <x:f>IFERROR(VLOOKUP($B$5,'Regulation'!$A$7:$H$106,4,FALSE),"")</x:f>
        <x:v>City operational permit, annual renewal and life-safety inspection. Unincorporated Sevier County has a separate annual permit/inspection program; verify boundary first.</x:v>
      </x:c>
      <x:c r="E24" s="135"/>
      <x:c r="F24" s="135"/>
      <x:c r="G24" s="135"/>
      <x:c r="H24" s="135"/>
    </x:row>
    <x:row r="25" ht="46" customHeight="1">
      <x:c r="A25" s="133" t="str">
        <x:v>Unresolved address-level question</x:v>
      </x:c>
      <x:c r="B25" s="133"/>
      <x:c r="C25" s="133"/>
      <x:c r="D25" s="135" t="str">
        <x:f>IFERROR(VLOOKUP($B$5,'Regulation'!$A$7:$H$106,5,FALSE),"")</x:f>
        <x:v>Determine city limits versus unincorporated Sevier County before using a permit checklist.</x:v>
      </x:c>
      <x:c r="E25" s="135"/>
      <x:c r="F25" s="135"/>
      <x:c r="G25" s="135"/>
      <x:c r="H25" s="135"/>
    </x:row>
    <x:row r="26" ht="46" customHeight="1">
      <x:c r="A26" s="133" t="str">
        <x:v>Scope / jurisdiction</x:v>
      </x:c>
      <x:c r="B26" s="133"/>
      <x:c r="C26" s="133"/>
      <x:c r="D26" s="135" t="str">
        <x:f>IFERROR(VLOOKUP($B$5,'Regulation'!$A$7:$H$106,6,FALSE),"")</x:f>
        <x:v>Named municipality; parcel and HOA not cleared</x:v>
      </x:c>
      <x:c r="E26" s="135"/>
      <x:c r="F26" s="135"/>
      <x:c r="G26" s="135"/>
      <x:c r="H26" s="135"/>
    </x:row>
    <x:row r="27">
      <x:c r="A27" s="118"/>
      <x:c r="B27" s="118"/>
      <x:c r="C27" s="118"/>
      <x:c r="D27" s="118"/>
      <x:c r="E27" s="118"/>
      <x:c r="F27" s="118"/>
      <x:c r="G27" s="118"/>
      <x:c r="H27" s="118"/>
    </x:row>
    <x:row r="28" ht="28" customHeight="1">
      <x:c r="A28" s="133" t="str">
        <x:v>STR source URL</x:v>
      </x:c>
      <x:c r="B28" s="133"/>
      <x:c r="C28" s="133"/>
      <x:c r="D28" s="135" t="str">
        <x:f>IFERROR(VLOOKUP($B$5,'Source Register'!$A$7:$J$106,3,FALSE),"")</x:f>
        <x:v>https://www.airdna.co/vacation-rental-data/app/us/tennessee/sevierville/overview</x:v>
      </x:c>
      <x:c r="E28" s="135"/>
      <x:c r="F28" s="135"/>
      <x:c r="G28" s="135"/>
      <x:c r="H28" s="135"/>
    </x:row>
    <x:row r="29" ht="28" customHeight="1">
      <x:c r="A29" s="133" t="str">
        <x:v>Official source URL</x:v>
      </x:c>
      <x:c r="B29" s="133"/>
      <x:c r="C29" s="133"/>
      <x:c r="D29" s="135" t="str">
        <x:f>IFERROR(VLOOKUP($B$5,'Regulation'!$A$7:$H$106,8,FALSE),"")</x:f>
        <x:v>https://www.seviervilletn.org/467/Short-Term-Rentals</x:v>
      </x:c>
      <x:c r="E29" s="135"/>
      <x:c r="F29" s="135"/>
      <x:c r="G29" s="135"/>
      <x:c r="H29" s="135"/>
    </x:row>
    <x:row r="30">
      <x:c r="A30" s="118"/>
      <x:c r="B30" s="118"/>
      <x:c r="C30" s="118"/>
      <x:c r="D30" s="118"/>
      <x:c r="E30" s="118"/>
      <x:c r="F30" s="118"/>
      <x:c r="G30" s="118"/>
      <x:c r="H30" s="118"/>
    </x:row>
    <x:row r="31">
      <x:c r="A31" s="118"/>
      <x:c r="B31" s="118"/>
      <x:c r="C31" s="118"/>
      <x:c r="D31" s="118"/>
      <x:c r="E31" s="118"/>
      <x:c r="F31" s="118"/>
      <x:c r="G31" s="118"/>
      <x:c r="H31" s="118"/>
    </x:row>
    <x:row r="32">
      <x:c r="A32" s="141" t="str">
        <x:v>Use the market as a research starting point. Exact parcel legality, matched property comps, insurance, financing, HOA/lease terms and operating costs still need separate verification.</x:v>
      </x:c>
      <x:c r="B32" s="141"/>
      <x:c r="C32" s="141"/>
      <x:c r="D32" s="141"/>
      <x:c r="E32" s="141"/>
      <x:c r="F32" s="141"/>
      <x:c r="G32" s="141"/>
      <x:c r="H32" s="141"/>
    </x:row>
    <x:row r="33">
      <x:c r="A33" s="141"/>
      <x:c r="B33" s="141"/>
      <x:c r="C33" s="141"/>
      <x:c r="D33" s="141"/>
      <x:c r="E33" s="141"/>
      <x:c r="F33" s="141"/>
      <x:c r="G33" s="141"/>
      <x:c r="H33" s="141"/>
    </x:row>
    <x:row r="34">
      <x:c r="A34" s="141"/>
      <x:c r="B34" s="141"/>
      <x:c r="C34" s="141"/>
      <x:c r="D34" s="141"/>
      <x:c r="E34" s="141"/>
      <x:c r="F34" s="141"/>
      <x:c r="G34" s="141"/>
      <x:c r="H34" s="141"/>
    </x:row>
    <x:row r="35">
      <x:c r="A35" s="118"/>
      <x:c r="B35" s="118"/>
      <x:c r="C35" s="118"/>
      <x:c r="D35" s="118"/>
      <x:c r="E35" s="118"/>
      <x:c r="F35" s="118"/>
      <x:c r="G35" s="118"/>
      <x:c r="H35" s="118"/>
    </x:row>
  </x:sheetData>
  <x:mergeCells>
    <x:mergeCell ref="A1:H2"/>
    <x:mergeCell ref="A3:H3"/>
    <x:mergeCell ref="A7:C7"/>
    <x:mergeCell ref="D7:H7"/>
    <x:mergeCell ref="A8:C8"/>
    <x:mergeCell ref="D8:H8"/>
    <x:mergeCell ref="A9:C9"/>
    <x:mergeCell ref="D9:H9"/>
    <x:mergeCell ref="A11:C11"/>
    <x:mergeCell ref="D11:H11"/>
    <x:mergeCell ref="A12:C12"/>
    <x:mergeCell ref="D12:H12"/>
    <x:mergeCell ref="A13:C13"/>
    <x:mergeCell ref="D13:H13"/>
    <x:mergeCell ref="A14:C14"/>
    <x:mergeCell ref="D14:H14"/>
    <x:mergeCell ref="A15:C15"/>
    <x:mergeCell ref="D15:H15"/>
    <x:mergeCell ref="A17:C17"/>
    <x:mergeCell ref="D17:H17"/>
    <x:mergeCell ref="A18:C18"/>
    <x:mergeCell ref="D18:H18"/>
    <x:mergeCell ref="A19:C19"/>
    <x:mergeCell ref="D19:H19"/>
    <x:mergeCell ref="A20:C20"/>
    <x:mergeCell ref="D20:H20"/>
    <x:mergeCell ref="A21:C21"/>
    <x:mergeCell ref="D21:H21"/>
    <x:mergeCell ref="A23:C23"/>
    <x:mergeCell ref="D23:H23"/>
    <x:mergeCell ref="A24:C24"/>
    <x:mergeCell ref="D24:H24"/>
    <x:mergeCell ref="A25:C25"/>
    <x:mergeCell ref="D25:H25"/>
    <x:mergeCell ref="A26:C26"/>
    <x:mergeCell ref="D26:H26"/>
    <x:mergeCell ref="A28:C28"/>
    <x:mergeCell ref="D28:H28"/>
    <x:mergeCell ref="A29:C29"/>
    <x:mergeCell ref="D29:H29"/>
    <x:mergeCell ref="A32:H34"/>
  </x:mergeCells>
  <x:dataValidations count="1">
    <x:dataValidation operator="between" sqref="B5">
      <x:formula1>1</x:formula1>
      <x:formula2>100</x:formula2>
    </x:dataValidation>
  </x:dataValidations>
  <x:pageMargins left="0.7" right="0.7" top="0.75" bottom="0.75" header="0.3" footer="0.3"/>
</x:worksheet>
</file>