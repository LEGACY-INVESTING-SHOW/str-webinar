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9fab39fb684a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al Scorecard" sheetId="1" r:id="R36406dbbd12840a4"/>
    <x:sheet xmlns:r="http://schemas.openxmlformats.org/officeDocument/2006/relationships" name="Evidence Checklist" sheetId="2" r:id="R48100b111da140f1"/>
    <x:sheet xmlns:r="http://schemas.openxmlformats.org/officeDocument/2006/relationships" name="Decision Record" sheetId="3" r:id="R1f23301e7c104c57"/>
    <x:sheet xmlns:r="http://schemas.openxmlformats.org/officeDocument/2006/relationships" name="Start Here" sheetId="4" r:id="Rc08e2d8eddf643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29">
    <x:font>
      <x:sz val="11"/>
      <x:name val="Carlito"/>
    </x:font>
    <x:font>
      <x:sz val="11"/>
      <x:color rgb="FF132A3A"/>
      <x:name val="Calibri"/>
    </x:font>
    <x:font>
      <x:b/>
      <x:sz val="23"/>
      <x:color rgb="FFFFFFFF"/>
      <x:name val="Calibri"/>
    </x:font>
    <x:font>
      <x:sz val="11"/>
      <x:color rgb="FF132A3A"/>
      <x:name val="Calibri"/>
    </x:font>
    <x:font>
      <x:b/>
      <x:sz val="14"/>
      <x:color rgb="FF132A3A"/>
      <x:name val="Calibri"/>
    </x:font>
    <x:font>
      <x:sz val="11"/>
      <x:color rgb="FF0000FF"/>
      <x:name val="Calibri"/>
    </x:font>
    <x:font>
      <x:b/>
      <x:sz val="11"/>
      <x:color rgb="FFFFFFFF"/>
      <x:name val="Calibri"/>
    </x:font>
    <x:font>
      <x:sz val="10"/>
      <x:color rgb="FF132A3A"/>
      <x:name val="Aptos"/>
    </x:font>
    <x:font>
      <x:b/>
      <x:sz val="21"/>
      <x:color rgb="FFFFFFFF"/>
      <x:name val="Aptos"/>
    </x:font>
    <x:font>
      <x:sz val="10"/>
      <x:color rgb="FF526572"/>
      <x:name val="Aptos"/>
    </x:font>
    <x:font>
      <x:b/>
      <x:sz val="10"/>
      <x:color rgb="FFFFFFFF"/>
      <x:name val="Aptos"/>
    </x:font>
    <x:font>
      <x:sz val="10"/>
      <x:color rgb="FF0000FF"/>
      <x:name val="Aptos"/>
    </x:font>
    <x:font>
      <x:b/>
      <x:sz val="10"/>
      <x:color rgb="FF1F2A24"/>
      <x:name val="Instrument Sans"/>
    </x:font>
    <x:font>
      <x:sz val="10"/>
      <x:color rgb="FF1F2A24"/>
      <x:name val="Instrument Sans"/>
    </x:font>
    <x:font>
      <x:b/>
      <x:sz val="18"/>
      <x:color rgb="FFFBF8F1"/>
      <x:name val="Newsreader"/>
    </x:font>
    <x:font>
      <x:i/>
      <x:sz val="9"/>
      <x:color rgb="FF4A5850"/>
      <x:name val="Instrument Sans"/>
    </x:font>
    <x:font>
      <x:b/>
      <x:sz val="10"/>
      <x:color rgb="FF16352A"/>
      <x:name val="Instrument Sans"/>
    </x:font>
    <x:font>
      <x:b/>
      <x:sz val="9"/>
      <x:color rgb="FFFBF8F1"/>
      <x:name val="Instrument Sans"/>
    </x:font>
    <x:font>
      <x:b/>
      <x:sz val="12"/>
      <x:color rgb="FF16352A"/>
      <x:name val="Newsreader"/>
    </x:font>
    <x:font>
      <x:b/>
      <x:sz val="10"/>
      <x:color rgb="FFB0503C"/>
      <x:name val="Instrument Sans"/>
    </x:font>
    <x:font>
      <x:sz val="9"/>
      <x:color rgb="FF4A5850"/>
      <x:name val="Instrument Sans"/>
    </x:font>
    <x:font>
      <x:b/>
      <x:sz val="24"/>
      <x:color rgb="FFFBF8F1"/>
      <x:name val="Newsreader"/>
    </x:font>
    <x:font>
      <x:i/>
      <x:sz val="10"/>
      <x:color rgb="FF4A5850"/>
      <x:name val="Instrument Sans"/>
    </x:font>
    <x:font>
      <x:b/>
      <x:sz val="9"/>
      <x:color rgb="FF8A6510"/>
      <x:name val="Instrument Sans"/>
    </x:font>
    <x:font>
      <x:b/>
      <x:sz val="10"/>
      <x:color rgb="FF4A5850"/>
      <x:name val="Instrument Sans"/>
    </x:font>
    <x:font>
      <x:b/>
      <x:sz val="15"/>
      <x:color rgb="FF16352A"/>
      <x:name val="Newsreader"/>
    </x:font>
    <x:font>
      <x:b/>
      <x:sz val="11"/>
      <x:color rgb="FF16352A"/>
      <x:name val="Instrument Sans"/>
    </x:font>
    <x:font>
      <x:b/>
      <x:sz val="20"/>
      <x:color rgb="FF2F7D5B"/>
      <x:name val="Newsreader"/>
    </x:font>
    <x:font>
      <x:b/>
      <x:sz val="14"/>
      <x:color rgb="FF16352A"/>
      <x:name val="Newsreader"/>
    </x:font>
  </x:fonts>
  <x:fills count="14">
    <x:fill>
      <x:patternFill patternType="none"/>
    </x:fill>
    <x:fill>
      <x:patternFill patternType="gray125"/>
    </x:fill>
    <x:fill>
      <x:patternFill patternType="solid">
        <x:fgColor rgb="FF132A3A"/>
      </x:patternFill>
    </x:fill>
    <x:fill>
      <x:patternFill patternType="solid">
        <x:fgColor rgb="FFF2F5F7"/>
      </x:patternFill>
    </x:fill>
    <x:fill>
      <x:patternFill patternType="solid">
        <x:fgColor rgb="FFEAF4F7"/>
      </x:patternFill>
    </x:fill>
    <x:fill>
      <x:patternFill patternType="solid">
        <x:fgColor rgb="FF136F73"/>
      </x:patternFill>
    </x:fill>
    <x:fill>
      <x:patternFill patternType="solid">
        <x:fgColor rgb="FFFFFFFF"/>
      </x:patternFill>
    </x:fill>
    <x:fill>
      <x:patternFill patternType="solid">
        <x:fgColor rgb="FFFBF8F1"/>
      </x:patternFill>
    </x:fill>
    <x:fill>
      <x:patternFill patternType="solid">
        <x:fgColor rgb="FF16352A"/>
      </x:patternFill>
    </x:fill>
    <x:fill>
      <x:patternFill patternType="solid">
        <x:fgColor rgb="FFE4EFE5"/>
      </x:patternFill>
    </x:fill>
    <x:fill>
      <x:patternFill patternType="solid">
        <x:fgColor rgb="FFF6ECD3"/>
      </x:patternFill>
    </x:fill>
    <x:fill>
      <x:patternFill patternType="solid">
        <x:fgColor rgb="FFF6E4DD"/>
      </x:patternFill>
    </x:fill>
    <x:fill>
      <x:patternFill patternType="solid">
        <x:fgColor rgb="FFF3EDDF"/>
      </x:patternFill>
    </x:fill>
    <x:fill>
      <x:patternFill patternType="solid">
        <x:fgColor rgb="FF2F7D5B"/>
      </x:patternFill>
    </x:fill>
  </x:fills>
  <x:borders count="2">
    <x:border/>
    <x:border/>
  </x:borders>
  <x:cellStyleXfs count="1">
    <x:xf numFmtId="0" fontId="0" fillId="0" borderId="0"/>
  </x:cellStyleXfs>
  <x:cellXfs count="105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vertical="center" wrapText="1"/>
    </x:xf>
    <x:xf numFmtId="0" fontId="5" fillId="4" borderId="1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6" fillId="5" borderId="0" xfId="0" applyNumberFormat="1" applyFont="1" applyFill="1" applyBorder="1" applyAlignment="1">
      <x:alignment vertical="center" wrapText="1"/>
    </x:xf>
    <x:xf numFmtId="0" fontId="1" fillId="5" borderId="1" xfId="0" applyNumberFormat="1" applyFont="1" applyFill="1" applyBorder="1" applyAlignment="1">
      <x:alignment vertical="center" wrapText="1"/>
    </x:xf>
    <x:xf numFmtId="0" fontId="6" fillId="5" borderId="1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0" borderId="1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 wrapText="1"/>
    </x:xf>
    <x:xf numFmtId="0" fontId="3" fillId="6" borderId="0" xfId="0" applyNumberFormat="1" applyFont="1" applyFill="1" applyBorder="1" applyAlignment="1">
      <x:alignment vertical="center" wrapText="1"/>
    </x:xf>
    <x:xf numFmtId="0" fontId="1" fillId="6" borderId="1" xfId="0" applyNumberFormat="1" applyFont="1" applyFill="1" applyBorder="1" applyAlignment="1">
      <x:alignment vertical="center" wrapText="1"/>
    </x:xf>
    <x:xf numFmtId="0" fontId="3" fillId="6" borderId="1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center" wrapText="1"/>
    </x:xf>
    <x:xf numFmtId="0" fontId="7" fillId="0" borderId="1" xfId="0" applyNumberFormat="1" applyFont="1" applyFill="1" applyBorder="1"/>
    <x:xf numFmtId="0" fontId="7" fillId="0" borderId="1" xfId="0" applyNumberFormat="1" applyFont="1" applyFill="1" applyBorder="1" applyAlignment="1">
      <x:alignment wrapText="1"/>
    </x:xf>
    <x:xf numFmtId="0" fontId="7" fillId="0" borderId="1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 applyAlignment="1">
      <x:alignment vertical="center" wrapText="1"/>
    </x:xf>
    <x:xf numFmtId="0" fontId="7" fillId="2" borderId="1" xfId="0" applyNumberFormat="1" applyFont="1" applyFill="1" applyBorder="1" applyAlignment="1">
      <x:alignment vertical="center" wrapText="1"/>
    </x:xf>
    <x:xf numFmtId="0" fontId="8" fillId="2" borderId="1" xfId="0" applyNumberFormat="1" applyFont="1" applyFill="1" applyBorder="1" applyAlignment="1">
      <x:alignment vertical="center" wrapText="1"/>
    </x:xf>
    <x:xf numFmtId="0" fontId="7" fillId="4" borderId="0" xfId="0" applyNumberFormat="1" applyFont="1" applyFill="1" applyBorder="1" applyAlignment="1">
      <x:alignment vertical="center" wrapText="1"/>
    </x:xf>
    <x:xf numFmtId="0" fontId="9" fillId="4" borderId="0" xfId="0" applyNumberFormat="1" applyFont="1" applyFill="1" applyBorder="1" applyAlignment="1">
      <x:alignment vertical="center" wrapText="1"/>
    </x:xf>
    <x:xf numFmtId="0" fontId="7" fillId="4" borderId="1" xfId="0" applyNumberFormat="1" applyFont="1" applyFill="1" applyBorder="1" applyAlignment="1">
      <x:alignment vertical="center" wrapText="1"/>
    </x:xf>
    <x:xf numFmtId="0" fontId="9" fillId="4" borderId="1" xfId="0" applyNumberFormat="1" applyFont="1" applyFill="1" applyBorder="1" applyAlignment="1">
      <x:alignment vertical="center" wrapText="1"/>
    </x:xf>
    <x:xf numFmtId="0" fontId="7" fillId="5" borderId="0" xfId="0" applyNumberFormat="1" applyFont="1" applyFill="1" applyBorder="1" applyAlignment="1">
      <x:alignment vertical="center" wrapText="1"/>
    </x:xf>
    <x:xf numFmtId="0" fontId="10" fillId="5" borderId="0" xfId="0" applyNumberFormat="1" applyFont="1" applyFill="1" applyBorder="1" applyAlignment="1">
      <x:alignment vertical="center" wrapText="1"/>
    </x:xf>
    <x:xf numFmtId="0" fontId="7" fillId="5" borderId="1" xfId="0" applyNumberFormat="1" applyFont="1" applyFill="1" applyBorder="1" applyAlignment="1">
      <x:alignment vertical="center" wrapText="1"/>
    </x:xf>
    <x:xf numFmtId="0" fontId="10" fillId="5" borderId="1" xfId="0" applyNumberFormat="1" applyFont="1" applyFill="1" applyBorder="1" applyAlignment="1">
      <x:alignment vertical="center" wrapText="1"/>
    </x:xf>
    <x:xf numFmtId="0" fontId="7" fillId="3" borderId="0" xfId="0" applyNumberFormat="1" applyFont="1" applyFill="1" applyBorder="1" applyAlignment="1">
      <x:alignment vertical="center" wrapText="1"/>
    </x:xf>
    <x:xf numFmtId="0" fontId="7" fillId="3" borderId="1" xfId="0" applyNumberFormat="1" applyFont="1" applyFill="1" applyBorder="1" applyAlignment="1">
      <x:alignment vertical="center" wrapText="1"/>
    </x:xf>
    <x:xf numFmtId="0" fontId="11" fillId="4" borderId="0" xfId="0" applyNumberFormat="1" applyFont="1" applyFill="1" applyBorder="1" applyAlignment="1">
      <x:alignment vertical="center" wrapText="1"/>
    </x:xf>
    <x:xf numFmtId="0" fontId="11" fillId="4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0" fontId="2" fillId="7" borderId="0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 applyAlignment="1">
      <x:alignment vertical="center" wrapText="1"/>
    </x:xf>
    <x:xf numFmtId="0" fontId="4" fillId="7" borderId="0" xfId="0" applyNumberFormat="1" applyFont="1" applyFill="1" applyBorder="1" applyAlignment="1">
      <x:alignment vertical="center" wrapText="1"/>
    </x:xf>
    <x:xf numFmtId="0" fontId="5" fillId="7" borderId="0" xfId="0" applyNumberFormat="1" applyFont="1" applyFill="1" applyBorder="1" applyAlignment="1">
      <x:alignment vertical="center" wrapText="1"/>
    </x:xf>
    <x:xf numFmtId="0" fontId="6" fillId="7" borderId="0" xfId="0" applyNumberFormat="1" applyFont="1" applyFill="1" applyBorder="1" applyAlignment="1">
      <x:alignment vertical="center" wrapText="1"/>
    </x:xf>
    <x:xf numFmtId="200" fontId="1" fillId="7" borderId="0" xfId="0" applyNumberFormat="1" applyFont="1" applyFill="1" applyBorder="1" applyAlignment="1">
      <x:alignment vertical="center" wrapText="1"/>
    </x:xf>
    <x:xf numFmtId="0" fontId="12" fillId="7" borderId="0" xfId="0" applyNumberFormat="1" applyFont="1" applyFill="1" applyBorder="1" applyAlignment="1">
      <x:alignment vertical="center" wrapText="1"/>
    </x:xf>
    <x:xf numFmtId="0" fontId="13" fillId="7" borderId="0" xfId="0" applyNumberFormat="1" applyFont="1" applyFill="1" applyBorder="1" applyAlignment="1">
      <x:alignment vertical="center" wrapText="1"/>
    </x:xf>
    <x:xf numFmtId="200" fontId="13" fillId="7" borderId="0" xfId="0" applyNumberFormat="1" applyFont="1" applyFill="1" applyBorder="1" applyAlignment="1">
      <x:alignment vertical="center" wrapText="1"/>
    </x:xf>
    <x:xf numFmtId="0" fontId="12" fillId="8" borderId="0" xfId="0" applyNumberFormat="1" applyFont="1" applyFill="1" applyBorder="1" applyAlignment="1">
      <x:alignment vertical="center" wrapText="1"/>
    </x:xf>
    <x:xf numFmtId="0" fontId="14" fillId="8" borderId="0" xfId="0" applyNumberFormat="1" applyFont="1" applyFill="1" applyBorder="1" applyAlignment="1">
      <x:alignment vertical="center" wrapText="1"/>
    </x:xf>
    <x:xf numFmtId="0" fontId="15" fillId="7" borderId="0" xfId="0" applyNumberFormat="1" applyFont="1" applyFill="1" applyBorder="1" applyAlignment="1">
      <x:alignment vertical="center" wrapText="1"/>
    </x:xf>
    <x:xf numFmtId="0" fontId="8" fillId="7" borderId="0" xfId="0" applyNumberFormat="1" applyFont="1" applyFill="1" applyBorder="1" applyAlignment="1">
      <x:alignment vertical="center" wrapText="1"/>
    </x:xf>
    <x:xf numFmtId="0" fontId="9" fillId="7" borderId="0" xfId="0" applyNumberFormat="1" applyFont="1" applyFill="1" applyBorder="1" applyAlignment="1">
      <x:alignment vertical="center" wrapText="1"/>
    </x:xf>
    <x:xf numFmtId="0" fontId="7" fillId="7" borderId="0" xfId="0" applyNumberFormat="1" applyFont="1" applyFill="1" applyBorder="1" applyAlignment="1">
      <x:alignment vertical="center" wrapText="1"/>
    </x:xf>
    <x:xf numFmtId="0" fontId="10" fillId="7" borderId="0" xfId="0" applyNumberFormat="1" applyFont="1" applyFill="1" applyBorder="1" applyAlignment="1">
      <x:alignment vertical="center" wrapText="1"/>
    </x:xf>
    <x:xf numFmtId="0" fontId="11" fillId="7" borderId="0" xfId="0" applyNumberFormat="1" applyFont="1" applyFill="1" applyBorder="1" applyAlignment="1">
      <x:alignment vertical="center" wrapText="1"/>
    </x:xf>
    <x:xf numFmtId="0" fontId="13" fillId="9" borderId="0" xfId="0" applyNumberFormat="1" applyFont="1" applyFill="1" applyBorder="1" applyAlignment="1">
      <x:alignment vertical="center" wrapText="1"/>
    </x:xf>
    <x:xf numFmtId="0" fontId="16" fillId="9" borderId="0" xfId="0" applyNumberFormat="1" applyFont="1" applyFill="1" applyBorder="1" applyAlignment="1">
      <x:alignment vertical="center" wrapText="1"/>
    </x:xf>
    <x:xf numFmtId="0" fontId="17" fillId="8" borderId="0" xfId="0" applyNumberFormat="1" applyFont="1" applyFill="1" applyBorder="1" applyAlignment="1">
      <x:alignment vertical="center" wrapText="1"/>
    </x:xf>
    <x:xf numFmtId="0" fontId="12" fillId="10" borderId="0" xfId="0" applyNumberFormat="1" applyFont="1" applyFill="1" applyBorder="1" applyAlignment="1">
      <x:alignment vertical="center" wrapText="1"/>
    </x:xf>
    <x:xf numFmtId="0" fontId="13" fillId="10" borderId="0" xfId="0" applyNumberFormat="1" applyFont="1" applyFill="1" applyBorder="1" applyAlignment="1">
      <x:alignment vertical="center" wrapText="1"/>
    </x:xf>
    <x:xf numFmtId="200" fontId="13" fillId="10" borderId="0" xfId="0" applyNumberFormat="1" applyFont="1" applyFill="1" applyBorder="1" applyAlignment="1">
      <x:alignment vertical="center" wrapText="1"/>
    </x:xf>
    <x:xf numFmtId="0" fontId="18" fillId="10" borderId="0" xfId="0" applyNumberFormat="1" applyFont="1" applyFill="1" applyBorder="1" applyAlignment="1">
      <x:alignment vertical="center" wrapText="1"/>
    </x:xf>
    <x:xf numFmtId="200" fontId="18" fillId="10" borderId="0" xfId="0" applyNumberFormat="1" applyFont="1" applyFill="1" applyBorder="1" applyAlignment="1">
      <x:alignment vertical="center" wrapText="1"/>
    </x:xf>
    <x:xf numFmtId="0" fontId="12" fillId="11" borderId="0" xfId="0" applyNumberFormat="1" applyFont="1" applyFill="1" applyBorder="1" applyAlignment="1">
      <x:alignment vertical="center" wrapText="1"/>
    </x:xf>
    <x:xf numFmtId="0" fontId="13" fillId="11" borderId="0" xfId="0" applyNumberFormat="1" applyFont="1" applyFill="1" applyBorder="1" applyAlignment="1">
      <x:alignment vertical="center" wrapText="1"/>
    </x:xf>
    <x:xf numFmtId="0" fontId="19" fillId="11" borderId="0" xfId="0" applyNumberFormat="1" applyFont="1" applyFill="1" applyBorder="1" applyAlignment="1">
      <x:alignment vertical="center" wrapText="1"/>
    </x:xf>
    <x:xf numFmtId="0" fontId="12" fillId="9" borderId="0" xfId="0" applyNumberFormat="1" applyFont="1" applyFill="1" applyBorder="1" applyAlignment="1">
      <x:alignment vertical="center" wrapText="1"/>
    </x:xf>
    <x:xf numFmtId="0" fontId="20" fillId="7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0" fillId="8" borderId="0" xfId="0" applyNumberFormat="1" applyFont="1" applyFill="1" applyBorder="1"/>
    <x:xf numFmtId="0" fontId="21" fillId="8" borderId="0" xfId="0" applyNumberFormat="1" applyFont="1" applyFill="1" applyBorder="1"/>
    <x:xf numFmtId="0" fontId="22" fillId="7" borderId="0" xfId="0" applyNumberFormat="1" applyFont="1" applyFill="1" applyBorder="1"/>
    <x:xf numFmtId="0" fontId="0" fillId="10" borderId="0" xfId="0" applyNumberFormat="1" applyFont="1" applyFill="1" applyBorder="1"/>
    <x:xf numFmtId="0" fontId="23" fillId="10" borderId="0" xfId="0" applyNumberFormat="1" applyFont="1" applyFill="1" applyBorder="1"/>
    <x:xf numFmtId="0" fontId="24" fillId="7" borderId="0" xfId="0" applyNumberFormat="1" applyFont="1" applyFill="1" applyBorder="1"/>
    <x:xf numFmtId="0" fontId="0" fillId="12" borderId="0" xfId="0" applyNumberFormat="1" applyFont="1" applyFill="1" applyBorder="1"/>
    <x:xf numFmtId="0" fontId="25" fillId="12" borderId="0" xfId="0" applyNumberFormat="1" applyFont="1" applyFill="1" applyBorder="1"/>
    <x:xf numFmtId="0" fontId="26" fillId="12" borderId="0" xfId="0" applyNumberFormat="1" applyFont="1" applyFill="1" applyBorder="1"/>
    <x:xf numFmtId="0" fontId="0" fillId="13" borderId="0" xfId="0" applyNumberFormat="1" applyFont="1" applyFill="1" applyBorder="1"/>
    <x:xf numFmtId="0" fontId="17" fillId="13" borderId="0" xfId="0" applyNumberFormat="1" applyFont="1" applyFill="1" applyBorder="1"/>
    <x:xf numFmtId="0" fontId="27" fillId="7" borderId="0" xfId="0" applyNumberFormat="1" applyFont="1" applyFill="1" applyBorder="1"/>
    <x:xf numFmtId="0" fontId="28" fillId="7" borderId="0" xfId="0" applyNumberFormat="1" applyFont="1" applyFill="1" applyBorder="1"/>
    <x:xf numFmtId="0" fontId="20" fillId="7" borderId="0" xfId="0" applyNumberFormat="1" applyFont="1" applyFill="1" applyBorder="1"/>
    <x:xf numFmtId="0" fontId="0" fillId="11" borderId="0" xfId="0" applyNumberFormat="1" applyFont="1" applyFill="1" applyBorder="1"/>
    <x:xf numFmtId="0" fontId="19" fillId="11" borderId="0" xfId="0" applyNumberFormat="1" applyFont="1" applyFill="1" applyBorder="1"/>
    <x:xf numFmtId="0" fontId="19" fillId="11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f308739b8d45a2" /><Relationship Type="http://schemas.openxmlformats.org/officeDocument/2006/relationships/theme" Target="/xl/theme/theme1.xml" Id="R7ce1bd450da149aa" /><Relationship Type="http://schemas.openxmlformats.org/officeDocument/2006/relationships/sharedStrings" Target="/xl/sharedStrings.xml" Id="Rc8a353aeeabe453d" /><Relationship Type="http://schemas.openxmlformats.org/officeDocument/2006/relationships/worksheet" Target="/xl/worksheets/sheet1.xml" Id="R36406dbbd12840a4" /><Relationship Type="http://schemas.openxmlformats.org/officeDocument/2006/relationships/worksheet" Target="/xl/worksheets/sheet2.xml" Id="R48100b111da140f1" /><Relationship Type="http://schemas.openxmlformats.org/officeDocument/2006/relationships/worksheet" Target="/xl/worksheets/sheet3.xml" Id="R1f23301e7c104c57" /><Relationship Type="http://schemas.openxmlformats.org/officeDocument/2006/relationships/worksheet" Target="/xl/worksheets/sheet4.xml" Id="Rc08e2d8eddf643f7" /></Relationships>
</file>

<file path=xl/tables/table1.xml><?xml version="1.0" encoding="utf-8"?>
<x:table xmlns:x="http://schemas.openxmlformats.org/spreadsheetml/2006/main" id="1" name="EvidenceChecklistTable" displayName="EvidenceChecklistTable" ref="A6:G61" headerRowCount="1" totalsRowCount="0" totalsRowShown="0">
  <x:tableColumns count="7">
    <x:tableColumn id="1" name="ID"/>
    <x:tableColumn id="2" name="Stage"/>
    <x:tableColumn id="3" name="Check"/>
    <x:tableColumn id="4" name="What to verify"/>
    <x:tableColumn id="5" name="Status"/>
    <x:tableColumn id="6" name="Evidence / source / date"/>
    <x:tableColumn id="7" name="Action / owner / deadlin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ecisionRecordTable" displayName="DecisionRecordTable" ref="A6:B19" headerRowCount="1" totalsRowCount="0" totalsRowShown="0">
  <x:tableColumns count="2">
    <x:tableColumn id="1" name="Decision field"/>
    <x:tableColumn id="2" name="Your answer / evide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470cf62609441d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8b2d843b173467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8" hidden="0" customWidth="1"/>
    <x:col min="3" max="3" width="18" hidden="0" customWidth="1"/>
    <x:col min="4" max="4" width="3" hidden="0" customWidth="1"/>
    <x:col min="5" max="5" width="22" hidden="0" customWidth="1"/>
    <x:col min="6" max="6" width="34" hidden="0" customWidth="1"/>
    <x:col min="7" max="7" width="18" hidden="0" customWidth="1"/>
  </x:cols>
  <x:sheetData>
    <x:row r="1" ht="28" customHeight="1">
      <x:c r="A1" s="67" t="str">
        <x:v>BUY BOX | Evidence-led deal scorecard</x:v>
      </x:c>
      <x:c r="B1" s="67" t="str">
        <x:v>BUY BOX | Evidence-led deal scorecard</x:v>
      </x:c>
      <x:c r="C1" s="67" t="str">
        <x:v>BUY BOX | Evidence-led deal scorecard</x:v>
      </x:c>
      <x:c r="D1" s="67" t="str">
        <x:v>BUY BOX | Evidence-led deal scorecard</x:v>
      </x:c>
      <x:c r="E1" s="67" t="str">
        <x:v>BUY BOX | Evidence-led deal scorecard</x:v>
      </x:c>
      <x:c r="F1" s="67" t="str">
        <x:v>BUY BOX | Evidence-led deal scorecard</x:v>
      </x:c>
      <x:c r="G1" s="67" t="str">
        <x:v>BUY BOX | Evidence-led deal scorecard</x:v>
      </x:c>
    </x:row>
    <x:row r="2" ht="24" customHeight="1">
      <x:c r="A2" s="67" t="str">
        <x:v>BUY BOX | Evidence-led deal scorecard</x:v>
      </x:c>
      <x:c r="B2" s="67" t="str">
        <x:v>BUY BOX | Evidence-led deal scorecard</x:v>
      </x:c>
      <x:c r="C2" s="67" t="str">
        <x:v>BUY BOX | Evidence-led deal scorecard</x:v>
      </x:c>
      <x:c r="D2" s="67" t="str">
        <x:v>BUY BOX | Evidence-led deal scorecard</x:v>
      </x:c>
      <x:c r="E2" s="67" t="str">
        <x:v>BUY BOX | Evidence-led deal scorecard</x:v>
      </x:c>
      <x:c r="F2" s="67" t="str">
        <x:v>BUY BOX | Evidence-led deal scorecard</x:v>
      </x:c>
      <x:c r="G2" s="67" t="str">
        <x:v>BUY BOX | Evidence-led deal scorecard</x:v>
      </x:c>
    </x:row>
    <x:row r="3" ht="27" customHeight="1">
      <x:c r="A3" s="68" t="str">
        <x:v>Blue = your inputs. A score organizes due diligence; it does not predict investment success. A failed hard gate overrides every score.</x:v>
      </x:c>
      <x:c r="B3" s="68" t="str">
        <x:v>Blue = your inputs. A score organizes due diligence; it does not predict investment success. A failed hard gate overrides every score.</x:v>
      </x:c>
      <x:c r="C3" s="68" t="str">
        <x:v>Blue = your inputs. A score organizes due diligence; it does not predict investment success. A failed hard gate overrides every score.</x:v>
      </x:c>
      <x:c r="D3" s="68" t="str">
        <x:v>Blue = your inputs. A score organizes due diligence; it does not predict investment success. A failed hard gate overrides every score.</x:v>
      </x:c>
      <x:c r="E3" s="68" t="str">
        <x:v>Blue = your inputs. A score organizes due diligence; it does not predict investment success. A failed hard gate overrides every score.</x:v>
      </x:c>
      <x:c r="F3" s="68" t="str">
        <x:v>Blue = your inputs. A score organizes due diligence; it does not predict investment success. A failed hard gate overrides every score.</x:v>
      </x:c>
      <x:c r="G3" s="68" t="str">
        <x:v>Blue = your inputs. A score organizes due diligence; it does not predict investment success. A failed hard gate overrides every score.</x:v>
      </x:c>
    </x:row>
    <x:row r="4" ht="27" customHeight="1">
      <x:c r="A4" s="68" t="str">
        <x:v>Blue = your inputs. A score organizes due diligence; it does not predict investment success. A failed hard gate overrides every score.</x:v>
      </x:c>
      <x:c r="B4" s="68" t="str">
        <x:v>Blue = your inputs. A score organizes due diligence; it does not predict investment success. A failed hard gate overrides every score.</x:v>
      </x:c>
      <x:c r="C4" s="68" t="str">
        <x:v>Blue = your inputs. A score organizes due diligence; it does not predict investment success. A failed hard gate overrides every score.</x:v>
      </x:c>
      <x:c r="D4" s="68" t="str">
        <x:v>Blue = your inputs. A score organizes due diligence; it does not predict investment success. A failed hard gate overrides every score.</x:v>
      </x:c>
      <x:c r="E4" s="68" t="str">
        <x:v>Blue = your inputs. A score organizes due diligence; it does not predict investment success. A failed hard gate overrides every score.</x:v>
      </x:c>
      <x:c r="F4" s="68" t="str">
        <x:v>Blue = your inputs. A score organizes due diligence; it does not predict investment success. A failed hard gate overrides every score.</x:v>
      </x:c>
      <x:c r="G4" s="68" t="str">
        <x:v>Blue = your inputs. A score organizes due diligence; it does not predict investment success. A failed hard gate overrides every score.</x:v>
      </x:c>
    </x:row>
    <x:row r="5" ht="27" customHeight="1">
      <x:c r="A5" s="64"/>
      <x:c r="B5" s="64"/>
      <x:c r="C5" s="64"/>
      <x:c r="D5" s="64"/>
      <x:c r="E5" s="64"/>
      <x:c r="F5" s="64"/>
      <x:c r="G5" s="64"/>
    </x:row>
    <x:row r="6" ht="27" customHeight="1">
      <x:c r="A6" s="63" t="str">
        <x:v>PERMISSION FIRST
No = STOP. Unconfirmed = HOLD.</x:v>
      </x:c>
      <x:c r="B6" s="63" t="str">
        <x:v>PERMISSION FIRST
No = STOP. Unconfirmed = HOLD.</x:v>
      </x:c>
      <x:c r="C6" s="63" t="str">
        <x:v>PERMISSION FIRST
No = STOP. Unconfirmed = HOLD.</x:v>
      </x:c>
      <x:c r="D6" s="64"/>
      <x:c r="E6" s="63" t="str">
        <x:v>DOCUMENT THE EVIDENCE
Use the checklist and decision record tabs.</x:v>
      </x:c>
      <x:c r="F6" s="63" t="str">
        <x:v>DOCUMENT THE EVIDENCE
Use the checklist and decision record tabs.</x:v>
      </x:c>
      <x:c r="G6" s="63" t="str">
        <x:v>DOCUMENT THE EVIDENCE
Use the checklist and decision record tabs.</x:v>
      </x:c>
    </x:row>
    <x:row r="7" ht="27" customHeight="1">
      <x:c r="A7" s="63" t="str">
        <x:v>PERMISSION FIRST
No = STOP. Unconfirmed = HOLD.</x:v>
      </x:c>
      <x:c r="B7" s="63" t="str">
        <x:v>PERMISSION FIRST
No = STOP. Unconfirmed = HOLD.</x:v>
      </x:c>
      <x:c r="C7" s="63" t="str">
        <x:v>PERMISSION FIRST
No = STOP. Unconfirmed = HOLD.</x:v>
      </x:c>
      <x:c r="D7" s="64"/>
      <x:c r="E7" s="63" t="str">
        <x:v>DOCUMENT THE EVIDENCE
Use the checklist and decision record tabs.</x:v>
      </x:c>
      <x:c r="F7" s="63" t="str">
        <x:v>DOCUMENT THE EVIDENCE
Use the checklist and decision record tabs.</x:v>
      </x:c>
      <x:c r="G7" s="63" t="str">
        <x:v>DOCUMENT THE EVIDENCE
Use the checklist and decision record tabs.</x:v>
      </x:c>
    </x:row>
    <x:row r="8" ht="27" customHeight="1">
      <x:c r="A8" s="63" t="str">
        <x:v>PERMISSION FIRST
No = STOP. Unconfirmed = HOLD.</x:v>
      </x:c>
      <x:c r="B8" s="63" t="str">
        <x:v>PERMISSION FIRST
No = STOP. Unconfirmed = HOLD.</x:v>
      </x:c>
      <x:c r="C8" s="63" t="str">
        <x:v>PERMISSION FIRST
No = STOP. Unconfirmed = HOLD.</x:v>
      </x:c>
      <x:c r="D8" s="64"/>
      <x:c r="E8" s="63" t="str">
        <x:v>DOCUMENT THE EVIDENCE
Use the checklist and decision record tabs.</x:v>
      </x:c>
      <x:c r="F8" s="63" t="str">
        <x:v>DOCUMENT THE EVIDENCE
Use the checklist and decision record tabs.</x:v>
      </x:c>
      <x:c r="G8" s="63" t="str">
        <x:v>DOCUMENT THE EVIDENCE
Use the checklist and decision record tabs.</x:v>
      </x:c>
    </x:row>
    <x:row r="9" ht="27" customHeight="1">
      <x:c r="A9" s="64"/>
      <x:c r="B9" s="64"/>
      <x:c r="C9" s="64"/>
      <x:c r="D9" s="64"/>
      <x:c r="E9" s="64"/>
      <x:c r="F9" s="64"/>
      <x:c r="G9" s="64"/>
    </x:row>
    <x:row r="10" ht="27" customHeight="1">
      <x:c r="A10" s="64"/>
      <x:c r="B10" s="64"/>
      <x:c r="C10" s="64"/>
      <x:c r="D10" s="64"/>
      <x:c r="E10" s="64"/>
      <x:c r="F10" s="64"/>
      <x:c r="G10" s="64"/>
    </x:row>
    <x:row r="11" ht="35" customHeight="1">
      <x:c r="A11" s="64" t="str">
        <x:v>Property / address</x:v>
      </x:c>
      <x:c r="B11" s="75" t="str"/>
      <x:c r="C11" s="64"/>
      <x:c r="D11" s="64"/>
      <x:c r="E11" s="64"/>
      <x:c r="F11" s="64"/>
      <x:c r="G11" s="64"/>
    </x:row>
    <x:row r="12" ht="35" customHeight="1">
      <x:c r="A12" s="64" t="str">
        <x:v>Model</x:v>
      </x:c>
      <x:c r="B12" s="75" t="str">
        <x:v>Ownership</x:v>
      </x:c>
      <x:c r="C12" s="64"/>
      <x:c r="D12" s="64"/>
      <x:c r="E12" s="64"/>
      <x:c r="F12" s="64"/>
      <x:c r="G12" s="64"/>
    </x:row>
    <x:row r="13" ht="35" customHeight="1">
      <x:c r="A13" s="64" t="str">
        <x:v>Prepared by / date</x:v>
      </x:c>
      <x:c r="B13" s="75" t="str"/>
      <x:c r="C13" s="64"/>
      <x:c r="D13" s="64"/>
      <x:c r="E13" s="64"/>
      <x:c r="F13" s="64"/>
      <x:c r="G13" s="64"/>
    </x:row>
    <x:row r="14" ht="35" customHeight="1">
      <x:c r="A14" s="64" t="str">
        <x:v>Planning / zoning permits intended use</x:v>
      </x:c>
      <x:c r="B14" s="75" t="str">
        <x:v>Unconfirmed</x:v>
      </x:c>
      <x:c r="C14" s="64"/>
      <x:c r="D14" s="64"/>
      <x:c r="E14" s="64"/>
      <x:c r="F14" s="64"/>
      <x:c r="G14" s="64"/>
    </x:row>
    <x:row r="15" ht="35" customHeight="1">
      <x:c r="A15" s="64" t="str">
        <x:v>Required permit is obtainable for this operator</x:v>
      </x:c>
      <x:c r="B15" s="75" t="str">
        <x:v>Unconfirmed</x:v>
      </x:c>
      <x:c r="C15" s="64"/>
      <x:c r="D15" s="64"/>
      <x:c r="E15" s="64"/>
      <x:c r="F15" s="64"/>
      <x:c r="G15" s="64"/>
    </x:row>
    <x:row r="16" ht="35" customHeight="1">
      <x:c r="A16" s="64" t="str">
        <x:v>HOA / building rules permit intended use</x:v>
      </x:c>
      <x:c r="B16" s="75" t="str">
        <x:v>Unconfirmed</x:v>
      </x:c>
      <x:c r="C16" s="64"/>
      <x:c r="D16" s="64"/>
      <x:c r="E16" s="64"/>
      <x:c r="F16" s="64"/>
      <x:c r="G16" s="64"/>
    </x:row>
    <x:row r="17" ht="35" customHeight="1">
      <x:c r="A17" s="64" t="str">
        <x:v>Landlord or lender has approved intended use</x:v>
      </x:c>
      <x:c r="B17" s="75" t="str">
        <x:v>Unconfirmed</x:v>
      </x:c>
      <x:c r="C17" s="64"/>
      <x:c r="D17" s="64"/>
      <x:c r="E17" s="64"/>
      <x:c r="F17" s="64"/>
      <x:c r="G17" s="64"/>
    </x:row>
    <x:row r="18" ht="35" customHeight="1">
      <x:c r="A18" s="64" t="str">
        <x:v>Bindable insurance and safety plan confirmed</x:v>
      </x:c>
      <x:c r="B18" s="75" t="str">
        <x:v>Unconfirmed</x:v>
      </x:c>
      <x:c r="C18" s="64"/>
      <x:c r="D18" s="64"/>
      <x:c r="E18" s="64"/>
      <x:c r="F18" s="64"/>
      <x:c r="G18" s="64"/>
    </x:row>
    <x:row r="19" ht="27" customHeight="1">
      <x:c r="A19" s="64"/>
      <x:c r="B19" s="64"/>
      <x:c r="C19" s="64"/>
      <x:c r="D19" s="64"/>
      <x:c r="E19" s="64"/>
      <x:c r="F19" s="64"/>
      <x:c r="G19" s="64"/>
    </x:row>
    <x:row r="20" ht="27" customHeight="1">
      <x:c r="A20" s="64"/>
      <x:c r="B20" s="64"/>
      <x:c r="C20" s="64"/>
      <x:c r="D20" s="64"/>
      <x:c r="E20" s="64"/>
      <x:c r="F20" s="64"/>
      <x:c r="G20" s="64"/>
    </x:row>
    <x:row r="21" ht="27" customHeight="1">
      <x:c r="A21" s="64"/>
      <x:c r="B21" s="64"/>
      <x:c r="C21" s="64"/>
      <x:c r="D21" s="64"/>
      <x:c r="E21" s="64"/>
      <x:c r="F21" s="64"/>
      <x:c r="G21" s="64"/>
    </x:row>
    <x:row r="22" ht="30" customHeight="1">
      <x:c r="A22" s="76" t="str">
        <x:v>Category</x:v>
      </x:c>
      <x:c r="B22" s="76" t="str">
        <x:v>Weight</x:v>
      </x:c>
      <x:c r="C22" s="76" t="str">
        <x:v>Your rating (0–5)</x:v>
      </x:c>
      <x:c r="D22" s="76"/>
      <x:c r="E22" s="76" t="str">
        <x:v>Weighted points</x:v>
      </x:c>
      <x:c r="F22" s="76" t="str">
        <x:v>Evidence / remaining question</x:v>
      </x:c>
      <x:c r="G22" s="76"/>
    </x:row>
    <x:row r="23" ht="42" customHeight="1">
      <x:c r="A23" s="64" t="str">
        <x:v>Regulation</x:v>
      </x:c>
      <x:c r="B23" s="64" t="n">
        <x:v>20</x:v>
      </x:c>
      <x:c r="C23" s="74" t="n">
        <x:v>0</x:v>
      </x:c>
      <x:c r="D23" s="64"/>
      <x:c r="E23" s="65" t="n">
        <x:f>B23*C23/5</x:f>
        <x:v>0</x:v>
      </x:c>
      <x:c r="F23" s="74"/>
      <x:c r="G23" s="64"/>
    </x:row>
    <x:row r="24" ht="42" customHeight="1">
      <x:c r="A24" s="64" t="str">
        <x:v>Revenue evidence</x:v>
      </x:c>
      <x:c r="B24" s="64" t="n">
        <x:v>20</x:v>
      </x:c>
      <x:c r="C24" s="74" t="n">
        <x:v>0</x:v>
      </x:c>
      <x:c r="D24" s="64"/>
      <x:c r="E24" s="65" t="n">
        <x:f>B24*C24/5</x:f>
        <x:v>0</x:v>
      </x:c>
      <x:c r="F24" s="74"/>
      <x:c r="G24" s="64"/>
    </x:row>
    <x:row r="25" ht="42" customHeight="1">
      <x:c r="A25" s="64" t="str">
        <x:v>Expenses</x:v>
      </x:c>
      <x:c r="B25" s="64" t="n">
        <x:v>15</x:v>
      </x:c>
      <x:c r="C25" s="74" t="n">
        <x:v>0</x:v>
      </x:c>
      <x:c r="D25" s="64"/>
      <x:c r="E25" s="65" t="n">
        <x:f>B25*C25/5</x:f>
        <x:v>0</x:v>
      </x:c>
      <x:c r="F25" s="74"/>
      <x:c r="G25" s="64"/>
    </x:row>
    <x:row r="26" ht="42" customHeight="1">
      <x:c r="A26" s="64" t="str">
        <x:v>Market</x:v>
      </x:c>
      <x:c r="B26" s="64" t="n">
        <x:v>10</x:v>
      </x:c>
      <x:c r="C26" s="74" t="n">
        <x:v>0</x:v>
      </x:c>
      <x:c r="D26" s="64"/>
      <x:c r="E26" s="65" t="n">
        <x:f>B26*C26/5</x:f>
        <x:v>0</x:v>
      </x:c>
      <x:c r="F26" s="74"/>
      <x:c r="G26" s="64"/>
    </x:row>
    <x:row r="27" ht="42" customHeight="1">
      <x:c r="A27" s="64" t="str">
        <x:v>Property</x:v>
      </x:c>
      <x:c r="B27" s="64" t="n">
        <x:v>10</x:v>
      </x:c>
      <x:c r="C27" s="74" t="n">
        <x:v>0</x:v>
      </x:c>
      <x:c r="D27" s="64"/>
      <x:c r="E27" s="65" t="n">
        <x:f>B27*C27/5</x:f>
        <x:v>0</x:v>
      </x:c>
      <x:c r="F27" s="74"/>
      <x:c r="G27" s="64"/>
    </x:row>
    <x:row r="28" ht="42" customHeight="1">
      <x:c r="A28" s="64" t="str">
        <x:v>Financing / lease</x:v>
      </x:c>
      <x:c r="B28" s="64" t="n">
        <x:v>10</x:v>
      </x:c>
      <x:c r="C28" s="74" t="n">
        <x:v>0</x:v>
      </x:c>
      <x:c r="D28" s="64"/>
      <x:c r="E28" s="65" t="n">
        <x:f>B28*C28/5</x:f>
        <x:v>0</x:v>
      </x:c>
      <x:c r="F28" s="74"/>
      <x:c r="G28" s="64"/>
    </x:row>
    <x:row r="29" ht="42" customHeight="1">
      <x:c r="A29" s="64" t="str">
        <x:v>Risk / reserves</x:v>
      </x:c>
      <x:c r="B29" s="64" t="n">
        <x:v>10</x:v>
      </x:c>
      <x:c r="C29" s="74" t="n">
        <x:v>0</x:v>
      </x:c>
      <x:c r="D29" s="64"/>
      <x:c r="E29" s="65" t="n">
        <x:f>B29*C29/5</x:f>
        <x:v>0</x:v>
      </x:c>
      <x:c r="F29" s="74"/>
      <x:c r="G29" s="64"/>
    </x:row>
    <x:row r="30" ht="42" customHeight="1">
      <x:c r="A30" s="64" t="str">
        <x:v>Exit options</x:v>
      </x:c>
      <x:c r="B30" s="64" t="n">
        <x:v>5</x:v>
      </x:c>
      <x:c r="C30" s="74" t="n">
        <x:v>0</x:v>
      </x:c>
      <x:c r="D30" s="64"/>
      <x:c r="E30" s="65" t="n">
        <x:f>B30*C30/5</x:f>
        <x:v>0</x:v>
      </x:c>
      <x:c r="F30" s="74"/>
      <x:c r="G30" s="64"/>
    </x:row>
    <x:row r="31" ht="27" customHeight="1">
      <x:c r="A31" s="64"/>
      <x:c r="B31" s="64"/>
      <x:c r="C31" s="64"/>
      <x:c r="D31" s="64"/>
      <x:c r="E31" s="64"/>
      <x:c r="F31" s="64"/>
      <x:c r="G31" s="64"/>
    </x:row>
    <x:row r="32" ht="27" customHeight="1">
      <x:c r="A32" s="64"/>
      <x:c r="B32" s="64"/>
      <x:c r="C32" s="64"/>
      <x:c r="D32" s="64"/>
      <x:c r="E32" s="64"/>
      <x:c r="F32" s="64"/>
      <x:c r="G32" s="64"/>
    </x:row>
    <x:row r="33" ht="27" customHeight="1">
      <x:c r="A33" s="80" t="str">
        <x:v>WEIGHTED SCORE / 100</x:v>
      </x:c>
      <x:c r="B33" s="80" t="str">
        <x:v>WEIGHTED SCORE / 100</x:v>
      </x:c>
      <x:c r="C33" s="80" t="str">
        <x:v>WEIGHTED SCORE / 100</x:v>
      </x:c>
      <x:c r="D33" s="80"/>
      <x:c r="E33" s="81" t="n">
        <x:f>SUM(E23:E30)</x:f>
        <x:v>0</x:v>
      </x:c>
      <x:c r="F33" s="64"/>
      <x:c r="G33" s="64"/>
    </x:row>
    <x:row r="34" ht="27" customHeight="1">
      <x:c r="A34" s="64"/>
      <x:c r="B34" s="64"/>
      <x:c r="C34" s="64"/>
      <x:c r="D34" s="64"/>
      <x:c r="E34" s="64"/>
      <x:c r="F34" s="64"/>
      <x:c r="G34" s="64"/>
    </x:row>
    <x:row r="35" ht="27" customHeight="1">
      <x:c r="A35" s="84" t="str">
        <x:v>HARD-GATE STATUS</x:v>
      </x:c>
      <x:c r="B35" s="84" t="str">
        <x:v>HARD-GATE STATUS</x:v>
      </x:c>
      <x:c r="C35" s="84" t="str">
        <x:v>HARD-GATE STATUS</x:v>
      </x:c>
      <x:c r="D35" s="84"/>
      <x:c r="E35" s="84" t="str">
        <x:f>IF(COUNTIF(B14:B18,"No")&gt;0,"STOP: failed hard gate",IF(COUNTIF(B14:B18,"Yes")=5,"Gates confirmed by user","HOLD: unresolved hard gate"))</x:f>
        <x:v>HOLD: unresolved hard gate</x:v>
      </x:c>
      <x:c r="F35" s="64"/>
      <x:c r="G35" s="64"/>
    </x:row>
    <x:row r="36" ht="27" customHeight="1">
      <x:c r="A36" s="64"/>
      <x:c r="B36" s="64"/>
      <x:c r="C36" s="64"/>
      <x:c r="D36" s="64"/>
      <x:c r="E36" s="64"/>
      <x:c r="F36" s="64"/>
      <x:c r="G36" s="64"/>
    </x:row>
    <x:row r="37" ht="27" customHeight="1">
      <x:c r="A37" s="75" t="str">
        <x:v>DUE-DILIGENCE PRIORITY</x:v>
      </x:c>
      <x:c r="B37" s="75" t="str">
        <x:v>DUE-DILIGENCE PRIORITY</x:v>
      </x:c>
      <x:c r="C37" s="75" t="str">
        <x:v>DUE-DILIGENCE PRIORITY</x:v>
      </x:c>
      <x:c r="D37" s="75"/>
      <x:c r="E37" s="75" t="str">
        <x:f>IF(COUNTIF(B14:B18,"No")&gt;0,"STOP: failed hard gate",IF(COUNTIF(B14:B18,"Yes")&lt;5,"HOLD: confirm permissions and safety",IF(E33&gt;=80,"Priority for further diligence—not approval",IF(E33&gt;=60,"Resolve gaps / reprice / retest","Rework or pass"))))</x:f>
        <x:v>HOLD: confirm permissions and safety</x:v>
      </x:c>
      <x:c r="F37" s="64"/>
      <x:c r="G37" s="64"/>
    </x:row>
    <x:row r="38" ht="27" customHeight="1">
      <x:c r="A38" s="64"/>
      <x:c r="B38" s="64"/>
      <x:c r="C38" s="64"/>
      <x:c r="D38" s="64"/>
      <x:c r="E38" s="64"/>
      <x:c r="F38" s="64"/>
      <x:c r="G38" s="64"/>
    </x:row>
    <x:row r="39" ht="27" customHeight="1">
      <x:c r="A39" s="64"/>
      <x:c r="B39" s="64"/>
      <x:c r="C39" s="64"/>
      <x:c r="D39" s="64"/>
      <x:c r="E39" s="64"/>
      <x:c r="F39" s="64"/>
      <x:c r="G39" s="64"/>
    </x:row>
    <x:row r="40" ht="27" customHeight="1">
      <x:c r="A40" s="64"/>
      <x:c r="B40" s="64"/>
      <x:c r="C40" s="64"/>
      <x:c r="D40" s="64"/>
      <x:c r="E40" s="64"/>
      <x:c r="F40" s="64"/>
      <x:c r="G40" s="64"/>
    </x:row>
    <x:row r="41" ht="27" customHeight="1">
      <x:c r="A41" s="64" t="str">
        <x:v>Rating anchors: 0 = no evidence / critical problem; 1 = weak; 2 = material gaps; 3 = adequate documented support; 4 = strong support with manageable gaps; 5 = robust evidence and downside plan. Missing information scores zero. Weights and thresholds are editorial aids, not industry guarantees.</x:v>
      </x:c>
      <x:c r="B41" s="64" t="str">
        <x:v>Rating anchors: 0 = no evidence / critical problem; 1 = weak; 2 = material gaps; 3 = adequate documented support; 4 = strong support with manageable gaps; 5 = robust evidence and downside plan. Missing information scores zero. Weights and thresholds are editorial aids, not industry guarantees.</x:v>
      </x:c>
      <x:c r="C41" s="64" t="str">
        <x:v>Rating anchors: 0 = no evidence / critical problem; 1 = weak; 2 = material gaps; 3 = adequate documented support; 4 = strong support with manageable gaps; 5 = robust evidence and downside plan. Missing information scores zero. Weights and thresholds are editorial aids, not industry guarantees.</x:v>
      </x:c>
      <x:c r="D41" s="64" t="str">
        <x:v>Rating anchors: 0 = no evidence / critical problem; 1 = weak; 2 = material gaps; 3 = adequate documented support; 4 = strong support with manageable gaps; 5 = robust evidence and downside plan. Missing information scores zero. Weights and thresholds are editorial aids, not industry guarantees.</x:v>
      </x:c>
      <x:c r="E41" s="64" t="str">
        <x:v>Rating anchors: 0 = no evidence / critical problem; 1 = weak; 2 = material gaps; 3 = adequate documented support; 4 = strong support with manageable gaps; 5 = robust evidence and downside plan. Missing information scores zero. Weights and thresholds are editorial aids, not industry guarantees.</x:v>
      </x:c>
      <x:c r="F41" s="64" t="str">
        <x:v>Rating anchors: 0 = no evidence / critical problem; 1 = weak; 2 = material gaps; 3 = adequate documented support; 4 = strong support with manageable gaps; 5 = robust evidence and downside plan. Missing information scores zero. Weights and thresholds are editorial aids, not industry guarantees.</x:v>
      </x:c>
      <x:c r="G41" s="64" t="str">
        <x:v>Rating anchors: 0 = no evidence / critical problem; 1 = weak; 2 = material gaps; 3 = adequate documented support; 4 = strong support with manageable gaps; 5 = robust evidence and downside plan. Missing information scores zero. Weights and thresholds are editorial aids, not industry guarantees.</x:v>
      </x:c>
    </x:row>
    <x:row r="42" ht="27" customHeight="1">
      <x:c r="A42" s="64" t="str">
        <x:v>Rating anchors: 0 = no evidence / critical problem; 1 = weak; 2 = material gaps; 3 = adequate documented support; 4 = strong support with manageable gaps; 5 = robust evidence and downside plan. Missing information scores zero. Weights and thresholds are editorial aids, not industry guarantees.</x:v>
      </x:c>
      <x:c r="B42" s="64" t="str">
        <x:v>Rating anchors: 0 = no evidence / critical problem; 1 = weak; 2 = material gaps; 3 = adequate documented support; 4 = strong support with manageable gaps; 5 = robust evidence and downside plan. Missing information scores zero. Weights and thresholds are editorial aids, not industry guarantees.</x:v>
      </x:c>
      <x:c r="C42" s="64" t="str">
        <x:v>Rating anchors: 0 = no evidence / critical problem; 1 = weak; 2 = material gaps; 3 = adequate documented support; 4 = strong support with manageable gaps; 5 = robust evidence and downside plan. Missing information scores zero. Weights and thresholds are editorial aids, not industry guarantees.</x:v>
      </x:c>
      <x:c r="D42" s="64" t="str">
        <x:v>Rating anchors: 0 = no evidence / critical problem; 1 = weak; 2 = material gaps; 3 = adequate documented support; 4 = strong support with manageable gaps; 5 = robust evidence and downside plan. Missing information scores zero. Weights and thresholds are editorial aids, not industry guarantees.</x:v>
      </x:c>
      <x:c r="E42" s="64" t="str">
        <x:v>Rating anchors: 0 = no evidence / critical problem; 1 = weak; 2 = material gaps; 3 = adequate documented support; 4 = strong support with manageable gaps; 5 = robust evidence and downside plan. Missing information scores zero. Weights and thresholds are editorial aids, not industry guarantees.</x:v>
      </x:c>
      <x:c r="F42" s="64" t="str">
        <x:v>Rating anchors: 0 = no evidence / critical problem; 1 = weak; 2 = material gaps; 3 = adequate documented support; 4 = strong support with manageable gaps; 5 = robust evidence and downside plan. Missing information scores zero. Weights and thresholds are editorial aids, not industry guarantees.</x:v>
      </x:c>
      <x:c r="G42" s="64" t="str">
        <x:v>Rating anchors: 0 = no evidence / critical problem; 1 = weak; 2 = material gaps; 3 = adequate documented support; 4 = strong support with manageable gaps; 5 = robust evidence and downside plan. Missing information scores zero. Weights and thresholds are editorial aids, not industry guarantees.</x:v>
      </x:c>
    </x:row>
    <x:row r="43" ht="27" customHeight="1">
      <x:c r="A43" s="64" t="str">
        <x:v>Rating anchors: 0 = no evidence / critical problem; 1 = weak; 2 = material gaps; 3 = adequate documented support; 4 = strong support with manageable gaps; 5 = robust evidence and downside plan. Missing information scores zero. Weights and thresholds are editorial aids, not industry guarantees.</x:v>
      </x:c>
      <x:c r="B43" s="64" t="str">
        <x:v>Rating anchors: 0 = no evidence / critical problem; 1 = weak; 2 = material gaps; 3 = adequate documented support; 4 = strong support with manageable gaps; 5 = robust evidence and downside plan. Missing information scores zero. Weights and thresholds are editorial aids, not industry guarantees.</x:v>
      </x:c>
      <x:c r="C43" s="64" t="str">
        <x:v>Rating anchors: 0 = no evidence / critical problem; 1 = weak; 2 = material gaps; 3 = adequate documented support; 4 = strong support with manageable gaps; 5 = robust evidence and downside plan. Missing information scores zero. Weights and thresholds are editorial aids, not industry guarantees.</x:v>
      </x:c>
      <x:c r="D43" s="64" t="str">
        <x:v>Rating anchors: 0 = no evidence / critical problem; 1 = weak; 2 = material gaps; 3 = adequate documented support; 4 = strong support with manageable gaps; 5 = robust evidence and downside plan. Missing information scores zero. Weights and thresholds are editorial aids, not industry guarantees.</x:v>
      </x:c>
      <x:c r="E43" s="64" t="str">
        <x:v>Rating anchors: 0 = no evidence / critical problem; 1 = weak; 2 = material gaps; 3 = adequate documented support; 4 = strong support with manageable gaps; 5 = robust evidence and downside plan. Missing information scores zero. Weights and thresholds are editorial aids, not industry guarantees.</x:v>
      </x:c>
      <x:c r="F43" s="64" t="str">
        <x:v>Rating anchors: 0 = no evidence / critical problem; 1 = weak; 2 = material gaps; 3 = adequate documented support; 4 = strong support with manageable gaps; 5 = robust evidence and downside plan. Missing information scores zero. Weights and thresholds are editorial aids, not industry guarantees.</x:v>
      </x:c>
      <x:c r="G43" s="64" t="str">
        <x:v>Rating anchors: 0 = no evidence / critical problem; 1 = weak; 2 = material gaps; 3 = adequate documented support; 4 = strong support with manageable gaps; 5 = robust evidence and downside plan. Missing information scores zero. Weights and thresholds are editorial aids, not industry guarantees.</x:v>
      </x:c>
    </x:row>
    <x:row r="44" ht="27" customHeight="1">
      <x:c r="A44" s="64" t="str">
        <x:v>Rating anchors: 0 = no evidence / critical problem; 1 = weak; 2 = material gaps; 3 = adequate documented support; 4 = strong support with manageable gaps; 5 = robust evidence and downside plan. Missing information scores zero. Weights and thresholds are editorial aids, not industry guarantees.</x:v>
      </x:c>
      <x:c r="B44" s="64" t="str">
        <x:v>Rating anchors: 0 = no evidence / critical problem; 1 = weak; 2 = material gaps; 3 = adequate documented support; 4 = strong support with manageable gaps; 5 = robust evidence and downside plan. Missing information scores zero. Weights and thresholds are editorial aids, not industry guarantees.</x:v>
      </x:c>
      <x:c r="C44" s="64" t="str">
        <x:v>Rating anchors: 0 = no evidence / critical problem; 1 = weak; 2 = material gaps; 3 = adequate documented support; 4 = strong support with manageable gaps; 5 = robust evidence and downside plan. Missing information scores zero. Weights and thresholds are editorial aids, not industry guarantees.</x:v>
      </x:c>
      <x:c r="D44" s="64" t="str">
        <x:v>Rating anchors: 0 = no evidence / critical problem; 1 = weak; 2 = material gaps; 3 = adequate documented support; 4 = strong support with manageable gaps; 5 = robust evidence and downside plan. Missing information scores zero. Weights and thresholds are editorial aids, not industry guarantees.</x:v>
      </x:c>
      <x:c r="E44" s="64" t="str">
        <x:v>Rating anchors: 0 = no evidence / critical problem; 1 = weak; 2 = material gaps; 3 = adequate documented support; 4 = strong support with manageable gaps; 5 = robust evidence and downside plan. Missing information scores zero. Weights and thresholds are editorial aids, not industry guarantees.</x:v>
      </x:c>
      <x:c r="F44" s="64" t="str">
        <x:v>Rating anchors: 0 = no evidence / critical problem; 1 = weak; 2 = material gaps; 3 = adequate documented support; 4 = strong support with manageable gaps; 5 = robust evidence and downside plan. Missing information scores zero. Weights and thresholds are editorial aids, not industry guarantees.</x:v>
      </x:c>
      <x:c r="G44" s="64" t="str">
        <x:v>Rating anchors: 0 = no evidence / critical problem; 1 = weak; 2 = material gaps; 3 = adequate documented support; 4 = strong support with manageable gaps; 5 = robust evidence and downside plan. Missing information scores zero. Weights and thresholds are editorial aids, not industry guarantees.</x:v>
      </x:c>
    </x:row>
    <x:row r="45" ht="27" customHeight="1">
      <x:c r="A45" s="64"/>
      <x:c r="B45" s="64"/>
      <x:c r="C45" s="64"/>
      <x:c r="D45" s="64"/>
      <x:c r="E45" s="64"/>
      <x:c r="F45" s="64"/>
      <x:c r="G45" s="64"/>
    </x:row>
    <x:row r="46" ht="27" customHeight="1">
      <x:c r="A46" s="64"/>
      <x:c r="B46" s="64"/>
      <x:c r="C46" s="64"/>
      <x:c r="D46" s="64"/>
      <x:c r="E46" s="64"/>
      <x:c r="F46" s="64"/>
      <x:c r="G46" s="64"/>
    </x:row>
    <x:row r="47" ht="27" customHeight="1">
      <x:c r="A47" s="64" t="str">
        <x:v>Use the final decision record to state what must happen before signing or closing. A legally permitted deal can still lose money. An excellent score cannot override a prohibition, denied landlord/lender consent, an unavailable permit or unsafe operation.</x:v>
      </x:c>
      <x:c r="B47" s="64" t="str">
        <x:v>Use the final decision record to state what must happen before signing or closing. A legally permitted deal can still lose money. An excellent score cannot override a prohibition, denied landlord/lender consent, an unavailable permit or unsafe operation.</x:v>
      </x:c>
      <x:c r="C47" s="64" t="str">
        <x:v>Use the final decision record to state what must happen before signing or closing. A legally permitted deal can still lose money. An excellent score cannot override a prohibition, denied landlord/lender consent, an unavailable permit or unsafe operation.</x:v>
      </x:c>
      <x:c r="D47" s="64" t="str">
        <x:v>Use the final decision record to state what must happen before signing or closing. A legally permitted deal can still lose money. An excellent score cannot override a prohibition, denied landlord/lender consent, an unavailable permit or unsafe operation.</x:v>
      </x:c>
      <x:c r="E47" s="64" t="str">
        <x:v>Use the final decision record to state what must happen before signing or closing. A legally permitted deal can still lose money. An excellent score cannot override a prohibition, denied landlord/lender consent, an unavailable permit or unsafe operation.</x:v>
      </x:c>
      <x:c r="F47" s="64" t="str">
        <x:v>Use the final decision record to state what must happen before signing or closing. A legally permitted deal can still lose money. An excellent score cannot override a prohibition, denied landlord/lender consent, an unavailable permit or unsafe operation.</x:v>
      </x:c>
      <x:c r="G47" s="64" t="str">
        <x:v>Use the final decision record to state what must happen before signing or closing. A legally permitted deal can still lose money. An excellent score cannot override a prohibition, denied landlord/lender consent, an unavailable permit or unsafe operation.</x:v>
      </x:c>
    </x:row>
    <x:row r="48" ht="27" customHeight="1">
      <x:c r="A48" s="64" t="str">
        <x:v>Use the final decision record to state what must happen before signing or closing. A legally permitted deal can still lose money. An excellent score cannot override a prohibition, denied landlord/lender consent, an unavailable permit or unsafe operation.</x:v>
      </x:c>
      <x:c r="B48" s="64" t="str">
        <x:v>Use the final decision record to state what must happen before signing or closing. A legally permitted deal can still lose money. An excellent score cannot override a prohibition, denied landlord/lender consent, an unavailable permit or unsafe operation.</x:v>
      </x:c>
      <x:c r="C48" s="64" t="str">
        <x:v>Use the final decision record to state what must happen before signing or closing. A legally permitted deal can still lose money. An excellent score cannot override a prohibition, denied landlord/lender consent, an unavailable permit or unsafe operation.</x:v>
      </x:c>
      <x:c r="D48" s="64" t="str">
        <x:v>Use the final decision record to state what must happen before signing or closing. A legally permitted deal can still lose money. An excellent score cannot override a prohibition, denied landlord/lender consent, an unavailable permit or unsafe operation.</x:v>
      </x:c>
      <x:c r="E48" s="64" t="str">
        <x:v>Use the final decision record to state what must happen before signing or closing. A legally permitted deal can still lose money. An excellent score cannot override a prohibition, denied landlord/lender consent, an unavailable permit or unsafe operation.</x:v>
      </x:c>
      <x:c r="F48" s="64" t="str">
        <x:v>Use the final decision record to state what must happen before signing or closing. A legally permitted deal can still lose money. An excellent score cannot override a prohibition, denied landlord/lender consent, an unavailable permit or unsafe operation.</x:v>
      </x:c>
      <x:c r="G48" s="64" t="str">
        <x:v>Use the final decision record to state what must happen before signing or closing. A legally permitted deal can still lose money. An excellent score cannot override a prohibition, denied landlord/lender consent, an unavailable permit or unsafe operation.</x:v>
      </x:c>
    </x:row>
    <x:row r="49" ht="27" customHeight="1">
      <x:c r="A49" s="64" t="str">
        <x:v>Use the final decision record to state what must happen before signing or closing. A legally permitted deal can still lose money. An excellent score cannot override a prohibition, denied landlord/lender consent, an unavailable permit or unsafe operation.</x:v>
      </x:c>
      <x:c r="B49" s="64" t="str">
        <x:v>Use the final decision record to state what must happen before signing or closing. A legally permitted deal can still lose money. An excellent score cannot override a prohibition, denied landlord/lender consent, an unavailable permit or unsafe operation.</x:v>
      </x:c>
      <x:c r="C49" s="64" t="str">
        <x:v>Use the final decision record to state what must happen before signing or closing. A legally permitted deal can still lose money. An excellent score cannot override a prohibition, denied landlord/lender consent, an unavailable permit or unsafe operation.</x:v>
      </x:c>
      <x:c r="D49" s="64" t="str">
        <x:v>Use the final decision record to state what must happen before signing or closing. A legally permitted deal can still lose money. An excellent score cannot override a prohibition, denied landlord/lender consent, an unavailable permit or unsafe operation.</x:v>
      </x:c>
      <x:c r="E49" s="64" t="str">
        <x:v>Use the final decision record to state what must happen before signing or closing. A legally permitted deal can still lose money. An excellent score cannot override a prohibition, denied landlord/lender consent, an unavailable permit or unsafe operation.</x:v>
      </x:c>
      <x:c r="F49" s="64" t="str">
        <x:v>Use the final decision record to state what must happen before signing or closing. A legally permitted deal can still lose money. An excellent score cannot override a prohibition, denied landlord/lender consent, an unavailable permit or unsafe operation.</x:v>
      </x:c>
      <x:c r="G49" s="64" t="str">
        <x:v>Use the final decision record to state what must happen before signing or closing. A legally permitted deal can still lose money. An excellent score cannot override a prohibition, denied landlord/lender consent, an unavailable permit or unsafe operation.</x:v>
      </x:c>
    </x:row>
    <x:row r="50" ht="27" customHeight="1">
      <x:c r="A50" s="64" t="str">
        <x:v>Use the final decision record to state what must happen before signing or closing. A legally permitted deal can still lose money. An excellent score cannot override a prohibition, denied landlord/lender consent, an unavailable permit or unsafe operation.</x:v>
      </x:c>
      <x:c r="B50" s="64" t="str">
        <x:v>Use the final decision record to state what must happen before signing or closing. A legally permitted deal can still lose money. An excellent score cannot override a prohibition, denied landlord/lender consent, an unavailable permit or unsafe operation.</x:v>
      </x:c>
      <x:c r="C50" s="64" t="str">
        <x:v>Use the final decision record to state what must happen before signing or closing. A legally permitted deal can still lose money. An excellent score cannot override a prohibition, denied landlord/lender consent, an unavailable permit or unsafe operation.</x:v>
      </x:c>
      <x:c r="D50" s="64" t="str">
        <x:v>Use the final decision record to state what must happen before signing or closing. A legally permitted deal can still lose money. An excellent score cannot override a prohibition, denied landlord/lender consent, an unavailable permit or unsafe operation.</x:v>
      </x:c>
      <x:c r="E50" s="64" t="str">
        <x:v>Use the final decision record to state what must happen before signing or closing. A legally permitted deal can still lose money. An excellent score cannot override a prohibition, denied landlord/lender consent, an unavailable permit or unsafe operation.</x:v>
      </x:c>
      <x:c r="F50" s="64" t="str">
        <x:v>Use the final decision record to state what must happen before signing or closing. A legally permitted deal can still lose money. An excellent score cannot override a prohibition, denied landlord/lender consent, an unavailable permit or unsafe operation.</x:v>
      </x:c>
      <x:c r="G50" s="64" t="str">
        <x:v>Use the final decision record to state what must happen before signing or closing. A legally permitted deal can still lose money. An excellent score cannot override a prohibition, denied landlord/lender consent, an unavailable permit or unsafe operation.</x:v>
      </x:c>
    </x:row>
    <x:row r="51" ht="27" customHeight="1">
      <x:c r="A51" s="6"/>
      <x:c r="B51" s="6"/>
      <x:c r="C51" s="6"/>
      <x:c r="D51" s="6"/>
      <x:c r="E51" s="6"/>
      <x:c r="F51" s="6"/>
      <x:c r="G51" s="6"/>
    </x:row>
    <x:row r="52" ht="27" customHeight="1">
      <x:c r="A52" s="6"/>
      <x:c r="B52" s="6"/>
      <x:c r="C52" s="6"/>
      <x:c r="D52" s="6"/>
      <x:c r="E52" s="6"/>
      <x:c r="F52" s="6"/>
      <x:c r="G52" s="6"/>
    </x:row>
    <x:row r="53" ht="27" customHeight="1">
      <x:c r="A53" s="6"/>
      <x:c r="B53" s="6"/>
      <x:c r="C53" s="6"/>
      <x:c r="D53" s="6"/>
      <x:c r="E53" s="6"/>
      <x:c r="F53" s="6"/>
      <x:c r="G53" s="6"/>
    </x:row>
    <x:row r="54" ht="27" customHeight="1">
      <x:c r="A54" s="6"/>
      <x:c r="B54" s="6"/>
      <x:c r="C54" s="6"/>
      <x:c r="D54" s="6"/>
      <x:c r="E54" s="6"/>
      <x:c r="F54" s="6"/>
      <x:c r="G54" s="6"/>
    </x:row>
    <x:row r="55" ht="27" customHeight="1">
      <x:c r="A55" s="6"/>
      <x:c r="B55" s="6"/>
      <x:c r="C55" s="6"/>
      <x:c r="D55" s="6"/>
      <x:c r="E55" s="6"/>
      <x:c r="F55" s="6"/>
      <x:c r="G55" s="6"/>
    </x:row>
    <x:row r="56" ht="27" customHeight="1">
      <x:c r="A56" s="6"/>
      <x:c r="B56" s="6"/>
      <x:c r="C56" s="6"/>
      <x:c r="D56" s="6"/>
      <x:c r="E56" s="6"/>
      <x:c r="F56" s="6"/>
      <x:c r="G56" s="6"/>
    </x:row>
    <x:row r="57" ht="27" customHeight="1">
      <x:c r="A57" s="6"/>
      <x:c r="B57" s="6"/>
      <x:c r="C57" s="6"/>
      <x:c r="D57" s="6"/>
      <x:c r="E57" s="6"/>
      <x:c r="F57" s="6"/>
      <x:c r="G57" s="6"/>
    </x:row>
    <x:row r="58" ht="27" customHeight="1">
      <x:c r="A58" s="6"/>
      <x:c r="B58" s="6"/>
      <x:c r="C58" s="6"/>
      <x:c r="D58" s="6"/>
      <x:c r="E58" s="6"/>
      <x:c r="F58" s="6"/>
      <x:c r="G58" s="6"/>
    </x:row>
    <x:row r="59" ht="27" customHeight="1">
      <x:c r="A59" s="6"/>
      <x:c r="B59" s="6"/>
      <x:c r="C59" s="6"/>
      <x:c r="D59" s="6"/>
      <x:c r="E59" s="6"/>
      <x:c r="F59" s="6"/>
      <x:c r="G59" s="6"/>
    </x:row>
    <x:row r="60" ht="27" customHeight="1">
      <x:c r="A60" s="6"/>
      <x:c r="B60" s="6"/>
      <x:c r="C60" s="6"/>
      <x:c r="D60" s="6"/>
      <x:c r="E60" s="6"/>
      <x:c r="F60" s="6"/>
      <x:c r="G60" s="6"/>
    </x:row>
    <x:row r="61" ht="27" customHeight="1">
      <x:c r="A61" s="6"/>
      <x:c r="B61" s="6"/>
      <x:c r="C61" s="6"/>
      <x:c r="D61" s="6"/>
      <x:c r="E61" s="6"/>
      <x:c r="F61" s="6"/>
      <x:c r="G61" s="6"/>
    </x:row>
    <x:row r="62" ht="27" customHeight="1">
      <x:c r="A62" s="6"/>
      <x:c r="B62" s="6"/>
      <x:c r="C62" s="6"/>
      <x:c r="D62" s="6"/>
      <x:c r="E62" s="6"/>
      <x:c r="F62" s="6"/>
      <x:c r="G62" s="6"/>
    </x:row>
    <x:row r="63" ht="27" customHeight="1">
      <x:c r="A63" s="6"/>
      <x:c r="B63" s="6"/>
      <x:c r="C63" s="6"/>
      <x:c r="D63" s="6"/>
      <x:c r="E63" s="6"/>
      <x:c r="F63" s="6"/>
      <x:c r="G63" s="6"/>
    </x:row>
    <x:row r="64" ht="27" customHeight="1">
      <x:c r="A64" s="6"/>
      <x:c r="B64" s="6"/>
      <x:c r="C64" s="6"/>
      <x:c r="D64" s="6"/>
      <x:c r="E64" s="6"/>
      <x:c r="F64" s="6"/>
      <x:c r="G64" s="6"/>
    </x:row>
    <x:row r="65" ht="27" customHeight="1">
      <x:c r="A65" s="6"/>
      <x:c r="B65" s="6"/>
      <x:c r="C65" s="6"/>
      <x:c r="D65" s="6"/>
      <x:c r="E65" s="6"/>
      <x:c r="F65" s="6"/>
      <x:c r="G65" s="6"/>
    </x:row>
  </x:sheetData>
  <x:mergeCells>
    <x:mergeCell ref="A1:G2"/>
    <x:mergeCell ref="A3:G4"/>
    <x:mergeCell ref="A6:C8"/>
    <x:mergeCell ref="E6:G8"/>
    <x:mergeCell ref="B11:C11"/>
    <x:mergeCell ref="B12:C12"/>
    <x:mergeCell ref="B13:C13"/>
    <x:mergeCell ref="B14:C14"/>
    <x:mergeCell ref="B15:C15"/>
    <x:mergeCell ref="B16:C16"/>
    <x:mergeCell ref="B17:C17"/>
    <x:mergeCell ref="B18:C18"/>
    <x:mergeCell ref="F23:G23"/>
    <x:mergeCell ref="F24:G24"/>
    <x:mergeCell ref="F25:G25"/>
    <x:mergeCell ref="F26:G26"/>
    <x:mergeCell ref="F27:G27"/>
    <x:mergeCell ref="F28:G28"/>
    <x:mergeCell ref="F29:G29"/>
    <x:mergeCell ref="F30:G30"/>
    <x:mergeCell ref="A33:C33"/>
    <x:mergeCell ref="A35:C35"/>
    <x:mergeCell ref="E35:G35"/>
    <x:mergeCell ref="A37:C37"/>
    <x:mergeCell ref="E37:G38"/>
    <x:mergeCell ref="A41:G44"/>
    <x:mergeCell ref="A47:G50"/>
  </x:mergeCells>
  <x:dataValidations count="3">
    <x:dataValidation type="list" sqref="B12">
      <x:formula1>"Ownership,Arbitrage"</x:formula1>
    </x:dataValidation>
    <x:dataValidation type="list" sqref="B14:B18">
      <x:formula1>"Unconfirmed,Yes,No"</x:formula1>
    </x:dataValidation>
    <x:dataValidation type="whole" operator="between" sqref="C23:C30">
      <x:formula1>0</x:formula1>
      <x:formula2>5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8" hidden="0" customWidth="1"/>
    <x:col min="3" max="3" width="24" hidden="0" customWidth="1"/>
    <x:col min="4" max="4" width="52" hidden="0" customWidth="1"/>
    <x:col min="5" max="5" width="16" hidden="0" customWidth="1"/>
    <x:col min="6" max="6" width="34" hidden="0" customWidth="1"/>
    <x:col min="7" max="7" width="32" hidden="0" customWidth="1"/>
  </x:cols>
  <x:sheetData>
    <x:row r="1" ht="28" customHeight="1">
      <x:c r="A1" s="67" t="str">
        <x:v>EVIDENCE CHECKLIST | Work through the deal</x:v>
      </x:c>
      <x:c r="B1" s="67"/>
      <x:c r="C1" s="67"/>
      <x:c r="D1" s="67"/>
      <x:c r="E1" s="67"/>
      <x:c r="F1" s="67"/>
      <x:c r="G1" s="67"/>
    </x:row>
    <x:row r="2" ht="24" customHeight="1">
      <x:c r="A2" s="67"/>
      <x:c r="B2" s="67"/>
      <x:c r="C2" s="67"/>
      <x:c r="D2" s="67"/>
      <x:c r="E2" s="67"/>
      <x:c r="F2" s="67"/>
      <x:c r="G2" s="67"/>
    </x:row>
    <x:row r="3" ht="23" customHeight="1">
      <x:c r="A3" s="68" t="str">
        <x:v>Record the source/document, date and next action. 'Not applicable' must have a written explanation; it is not a substitute for resolving a hard gate.</x:v>
      </x:c>
      <x:c r="B3" s="68"/>
      <x:c r="C3" s="68"/>
      <x:c r="D3" s="68"/>
      <x:c r="E3" s="68"/>
      <x:c r="F3" s="68"/>
      <x:c r="G3" s="68"/>
    </x:row>
    <x:row r="4" ht="23" customHeight="1">
      <x:c r="A4" s="68"/>
      <x:c r="B4" s="68"/>
      <x:c r="C4" s="68"/>
      <x:c r="D4" s="68"/>
      <x:c r="E4" s="68"/>
      <x:c r="F4" s="68"/>
      <x:c r="G4" s="68"/>
    </x:row>
    <x:row r="5" ht="10" customHeight="1">
      <x:c r="A5" s="64"/>
      <x:c r="B5" s="64"/>
      <x:c r="C5" s="64"/>
      <x:c r="D5" s="64"/>
      <x:c r="E5" s="64"/>
      <x:c r="F5" s="64"/>
      <x:c r="G5" s="64"/>
    </x:row>
    <x:row r="6" ht="37" customHeight="1">
      <x:c r="A6" s="76" t="str">
        <x:v>ID</x:v>
      </x:c>
      <x:c r="B6" s="76" t="str">
        <x:v>Stage</x:v>
      </x:c>
      <x:c r="C6" s="76" t="str">
        <x:v>Check</x:v>
      </x:c>
      <x:c r="D6" s="76" t="str">
        <x:v>What to verify</x:v>
      </x:c>
      <x:c r="E6" s="76" t="str">
        <x:v>Status</x:v>
      </x:c>
      <x:c r="F6" s="76" t="str">
        <x:v>Evidence / source / date</x:v>
      </x:c>
      <x:c r="G6" s="76" t="str">
        <x:v>Action / owner / deadline</x:v>
      </x:c>
    </x:row>
    <x:row r="7" ht="78" customHeight="1">
      <x:c r="A7" s="64" t="n">
        <x:v>1</x:v>
      </x:c>
      <x:c r="B7" s="64" t="str">
        <x:v>1. Permission and deal identity</x:v>
      </x:c>
      <x:c r="C7" s="64" t="str">
        <x:v>Exact jurisdiction</x:v>
      </x:c>
      <x:c r="D7" s="86" t="str">
        <x:v>Record the parcel/address, city limits, county, zoning district and intended rental use. A mailing city or vendor market boundary is not a land-use determination.</x:v>
      </x:c>
      <x:c r="E7" s="74" t="str">
        <x:v>Unconfirmed</x:v>
      </x:c>
      <x:c r="F7" s="74"/>
      <x:c r="G7" s="74"/>
    </x:row>
    <x:row r="8" ht="78" customHeight="1">
      <x:c r="A8" s="64" t="n">
        <x:v>2</x:v>
      </x:c>
      <x:c r="B8" s="64" t="str">
        <x:v>1. Permission and deal identity</x:v>
      </x:c>
      <x:c r="C8" s="64" t="str">
        <x:v>Legal STR use</x:v>
      </x:c>
      <x:c r="D8" s="86" t="str">
        <x:v>Obtain written planning confirmation that this exact property may operate the intended whole-home/hosted, owner/non-owner-occupied model.</x:v>
      </x:c>
      <x:c r="E8" s="74" t="str">
        <x:v>Unconfirmed</x:v>
      </x:c>
      <x:c r="F8" s="74"/>
      <x:c r="G8" s="74"/>
    </x:row>
    <x:row r="9" ht="78" customHeight="1">
      <x:c r="A9" s="64" t="n">
        <x:v>3</x:v>
      </x:c>
      <x:c r="B9" s="64" t="str">
        <x:v>1. Permission and deal identity</x:v>
      </x:c>
      <x:c r="C9" s="64" t="str">
        <x:v>Permit availability</x:v>
      </x:c>
      <x:c r="D9" s="86" t="str">
        <x:v>Verify the required permits, current cap/waitlist position, application path, inspections, minimum stays, renewal dates and transfer rules. A seller's permit is not automatically yours.</x:v>
      </x:c>
      <x:c r="E9" s="74" t="str">
        <x:v>Unconfirmed</x:v>
      </x:c>
      <x:c r="F9" s="74"/>
      <x:c r="G9" s="74"/>
    </x:row>
    <x:row r="10" ht="78" customHeight="1">
      <x:c r="A10" s="64" t="n">
        <x:v>4</x:v>
      </x:c>
      <x:c r="B10" s="64" t="str">
        <x:v>1. Permission and deal identity</x:v>
      </x:c>
      <x:c r="C10" s="64" t="str">
        <x:v>Private restrictions</x:v>
      </x:c>
      <x:c r="D10" s="86" t="str">
        <x:v>Read the current recorded covenants, HOA/condo declaration, bylaws and building rules. Check rental caps, minimum nights, guest limits and pending amendments.</x:v>
      </x:c>
      <x:c r="E10" s="74" t="str">
        <x:v>Unconfirmed</x:v>
      </x:c>
      <x:c r="F10" s="74"/>
      <x:c r="G10" s="74"/>
    </x:row>
    <x:row r="11" ht="78" customHeight="1">
      <x:c r="A11" s="64" t="n">
        <x:v>5</x:v>
      </x:c>
      <x:c r="B11" s="64" t="str">
        <x:v>1. Permission and deal identity</x:v>
      </x:c>
      <x:c r="C11" s="64" t="str">
        <x:v>Owner / lender consent</x:v>
      </x:c>
      <x:c r="D11" s="86" t="str">
        <x:v>Arbitrage: obtain express written STR/sublease permission. Ownership: confirm the lender and insurance carrier permit the planned occupancy and business use.</x:v>
      </x:c>
      <x:c r="E11" s="74" t="str">
        <x:v>Unconfirmed</x:v>
      </x:c>
      <x:c r="F11" s="74"/>
      <x:c r="G11" s="74"/>
    </x:row>
    <x:row r="12" ht="78" customHeight="1">
      <x:c r="A12" s="64" t="n">
        <x:v>6</x:v>
      </x:c>
      <x:c r="B12" s="64" t="str">
        <x:v>1. Permission and deal identity</x:v>
      </x:c>
      <x:c r="C12" s="64" t="str">
        <x:v>Insurable, safe operation</x:v>
      </x:c>
      <x:c r="D12" s="86" t="str">
        <x:v>Obtain a bindable STR-use quote and confirm lawful guest capacity, fire/egress, smoke/CO, pool/hot-tub and access requirements before committing capital.</x:v>
      </x:c>
      <x:c r="E12" s="74" t="str">
        <x:v>Unconfirmed</x:v>
      </x:c>
      <x:c r="F12" s="74"/>
      <x:c r="G12" s="74"/>
    </x:row>
    <x:row r="13" ht="78" customHeight="1">
      <x:c r="A13" s="64" t="n">
        <x:v>7</x:v>
      </x:c>
      <x:c r="B13" s="64" t="str">
        <x:v>2. Market and revenue evidence</x:v>
      </x:c>
      <x:c r="C13" s="64" t="str">
        <x:v>Repeatable demand</x:v>
      </x:c>
      <x:c r="D13" s="86" t="str">
        <x:v>Identify at least two plausible guest segments: tourism, business/medical, university, visiting family or recurring events. Explain why they book this specific location.</x:v>
      </x:c>
      <x:c r="E13" s="74" t="str">
        <x:v>Unconfirmed</x:v>
      </x:c>
      <x:c r="F13" s="74"/>
      <x:c r="G13" s="74"/>
    </x:row>
    <x:row r="14" ht="78" customHeight="1">
      <x:c r="A14" s="64" t="n">
        <x:v>8</x:v>
      </x:c>
      <x:c r="B14" s="64" t="str">
        <x:v>2. Market and revenue evidence</x:v>
      </x:c>
      <x:c r="C14" s="64" t="str">
        <x:v>Arrival and access</x:v>
      </x:c>
      <x:c r="D14" s="86" t="str">
        <x:v>Check real airport-to-door and drive-to journey times, parking, late arrival, winter access and public transport where relevant—not merely distance on a map.</x:v>
      </x:c>
      <x:c r="E14" s="74" t="str">
        <x:v>Unconfirmed</x:v>
      </x:c>
      <x:c r="F14" s="74"/>
      <x:c r="G14" s="74"/>
    </x:row>
    <x:row r="15" ht="78" customHeight="1">
      <x:c r="A15" s="64" t="n">
        <x:v>9</x:v>
      </x:c>
      <x:c r="B15" s="64" t="str">
        <x:v>2. Market and revenue evidence</x:v>
      </x:c>
      <x:c r="C15" s="64" t="str">
        <x:v>Demand trends</x:v>
      </x:c>
      <x:c r="D15" s="86" t="str">
        <x:v>Review local tourism and monthly park/attraction reports. For population/jobs, compare the same Census/BLS geography and periods; do not equate residents with overnight guests.</x:v>
      </x:c>
      <x:c r="E15" s="74" t="str">
        <x:v>Unconfirmed</x:v>
      </x:c>
      <x:c r="F15" s="74"/>
      <x:c r="G15" s="74"/>
    </x:row>
    <x:row r="16" ht="78" customHeight="1">
      <x:c r="A16" s="64" t="n">
        <x:v>10</x:v>
      </x:c>
      <x:c r="B16" s="64" t="str">
        <x:v>2. Market and revenue evidence</x:v>
      </x:c>
      <x:c r="C16" s="64" t="str">
        <x:v>Comparable property set</x:v>
      </x:c>
      <x:c r="D16" s="86" t="str">
        <x:v>Collect 5–10 active, legally comparable listings with matched bedrooms, bathrooms, guest capacity, quality, location and amenities. Include ordinary performers, not only the top decile.</x:v>
      </x:c>
      <x:c r="E16" s="74" t="str">
        <x:v>Unconfirmed</x:v>
      </x:c>
      <x:c r="F16" s="74"/>
      <x:c r="G16" s="74"/>
    </x:row>
    <x:row r="17" ht="78" customHeight="1">
      <x:c r="A17" s="64" t="n">
        <x:v>11</x:v>
      </x:c>
      <x:c r="B17" s="64" t="str">
        <x:v>2. Market and revenue evidence</x:v>
      </x:c>
      <x:c r="C17" s="64" t="str">
        <x:v>Calendar evidence</x:v>
      </x:c>
      <x:c r="D17" s="86" t="str">
        <x:v>Use 12 months of available/occupied nights and achieved ADR when obtainable. Blocked nights are not proven bookings; a public calendar alone does not establish revenue.</x:v>
      </x:c>
      <x:c r="E17" s="74" t="str">
        <x:v>Unconfirmed</x:v>
      </x:c>
      <x:c r="F17" s="74"/>
      <x:c r="G17" s="74"/>
    </x:row>
    <x:row r="18" ht="78" customHeight="1">
      <x:c r="A18" s="64" t="n">
        <x:v>12</x:v>
      </x:c>
      <x:c r="B18" s="64" t="str">
        <x:v>2. Market and revenue evidence</x:v>
      </x:c>
      <x:c r="C18" s="64" t="str">
        <x:v>ADR, occupancy and RevPAR</x:v>
      </x:c>
      <x:c r="D18" s="86" t="str">
        <x:v>Record source/date, available-night denominator, fees included and seasonality. Keep room revenue separate from cleaning/guest fees and occupancy taxes.</x:v>
      </x:c>
      <x:c r="E18" s="74" t="str">
        <x:v>Unconfirmed</x:v>
      </x:c>
      <x:c r="F18" s="74"/>
      <x:c r="G18" s="74"/>
    </x:row>
    <x:row r="19" ht="78" customHeight="1">
      <x:c r="A19" s="64" t="n">
        <x:v>13</x:v>
      </x:c>
      <x:c r="B19" s="64" t="str">
        <x:v>2. Market and revenue evidence</x:v>
      </x:c>
      <x:c r="C19" s="64" t="str">
        <x:v>Supply and hotels</x:v>
      </x:c>
      <x:c r="D19" s="86" t="str">
        <x:v>Review comparable STR inventory, new construction, hotel competition, listing quality and supply growth. Confirm that a large data change is not a boundary or methodology change.</x:v>
      </x:c>
      <x:c r="E19" s="74" t="str">
        <x:v>Unconfirmed</x:v>
      </x:c>
      <x:c r="F19" s="74"/>
      <x:c r="G19" s="74"/>
    </x:row>
    <x:row r="20" ht="78" customHeight="1">
      <x:c r="A20" s="64" t="n">
        <x:v>14</x:v>
      </x:c>
      <x:c r="B20" s="64" t="str">
        <x:v>2. Market and revenue evidence</x:v>
      </x:c>
      <x:c r="C20" s="64" t="str">
        <x:v>Seasonality and events</x:v>
      </x:c>
      <x:c r="D20" s="86" t="str">
        <x:v>Build 12 months. Identify the worst three months and test removal of the largest event. Do not annualize a summer or holiday rate.</x:v>
      </x:c>
      <x:c r="E20" s="74" t="str">
        <x:v>Unconfirmed</x:v>
      </x:c>
      <x:c r="F20" s="74"/>
      <x:c r="G20" s="74"/>
    </x:row>
    <x:row r="21" ht="78" customHeight="1">
      <x:c r="A21" s="64" t="n">
        <x:v>15</x:v>
      </x:c>
      <x:c r="B21" s="64" t="str">
        <x:v>2. Market and revenue evidence</x:v>
      </x:c>
      <x:c r="C21" s="64" t="str">
        <x:v>Pricing evidence</x:v>
      </x:c>
      <x:c r="D21" s="86" t="str">
        <x:v>Compare median and lower-performing matched comps, weekday/weekend rates, minimum stays, discounts, length of stay and new-listing ramp-up.</x:v>
      </x:c>
      <x:c r="E21" s="74" t="str">
        <x:v>Unconfirmed</x:v>
      </x:c>
      <x:c r="F21" s="74"/>
      <x:c r="G21" s="74"/>
    </x:row>
    <x:row r="22" ht="78" customHeight="1">
      <x:c r="A22" s="64" t="n">
        <x:v>16</x:v>
      </x:c>
      <x:c r="B22" s="64" t="str">
        <x:v>2. Market and revenue evidence</x:v>
      </x:c>
      <x:c r="C22" s="64" t="str">
        <x:v>Local cost environment</x:v>
      </x:c>
      <x:c r="D22" s="86" t="str">
        <x:v>Get property-specific insurance and tax estimates, labor availability and service quotes. Consider reassessment after purchase, storm deductibles and local lodging taxes.</x:v>
      </x:c>
      <x:c r="E22" s="74" t="str">
        <x:v>Unconfirmed</x:v>
      </x:c>
      <x:c r="F22" s="74"/>
      <x:c r="G22" s="74"/>
    </x:row>
    <x:row r="23" ht="78" customHeight="1">
      <x:c r="A23" s="64" t="n">
        <x:v>17</x:v>
      </x:c>
      <x:c r="B23" s="64" t="str">
        <x:v>3. Property and operating fit</x:v>
      </x:c>
      <x:c r="C23" s="64" t="str">
        <x:v>Legal configuration</x:v>
      </x:c>
      <x:c r="D23" s="86" t="str">
        <x:v>Confirm legal bedrooms, bathrooms, egress and septic/sewer capacity. Advertised sleeps must not exceed permit, fire, septic or building limits.</x:v>
      </x:c>
      <x:c r="E23" s="74" t="str">
        <x:v>Unconfirmed</x:v>
      </x:c>
      <x:c r="F23" s="74"/>
      <x:c r="G23" s="74"/>
    </x:row>
    <x:row r="24" ht="78" customHeight="1">
      <x:c r="A24" s="64" t="n">
        <x:v>18</x:v>
      </x:c>
      <x:c r="B24" s="64" t="str">
        <x:v>3. Property and operating fit</x:v>
      </x:c>
      <x:c r="C24" s="64" t="str">
        <x:v>Layout and guest match</x:v>
      </x:c>
      <x:c r="D24" s="86" t="str">
        <x:v>Match bathrooms, gathering areas, stairs, privacy and beds to the chosen guest. More beds do not automatically produce more profitable demand.</x:v>
      </x:c>
      <x:c r="E24" s="74" t="str">
        <x:v>Unconfirmed</x:v>
      </x:c>
      <x:c r="F24" s="74"/>
      <x:c r="G24" s="74"/>
    </x:row>
    <x:row r="25" ht="78" customHeight="1">
      <x:c r="A25" s="64" t="n">
        <x:v>19</x:v>
      </x:c>
      <x:c r="B25" s="64" t="str">
        <x:v>3. Property and operating fit</x:v>
      </x:c>
      <x:c r="C25" s="64" t="str">
        <x:v>Parking and arrival</x:v>
      </x:c>
      <x:c r="D25" s="86" t="str">
        <x:v>Verify legal off-street spaces, vehicle limits, steep drives, snow clearance, accessibility and check-in lighting. Test the guest's route.</x:v>
      </x:c>
      <x:c r="E25" s="74" t="str">
        <x:v>Unconfirmed</x:v>
      </x:c>
      <x:c r="F25" s="74"/>
      <x:c r="G25" s="74"/>
    </x:row>
    <x:row r="26" ht="78" customHeight="1">
      <x:c r="A26" s="64" t="n">
        <x:v>20</x:v>
      </x:c>
      <x:c r="B26" s="64" t="str">
        <x:v>3. Property and operating fit</x:v>
      </x:c>
      <x:c r="C26" s="64" t="str">
        <x:v>Demand-generator proximity</x:v>
      </x:c>
      <x:c r="D26" s="86" t="str">
        <x:v>Measure actual walking/driving routes to attractions, hospitals, campuses or event venues. Check safety and access barriers along the route.</x:v>
      </x:c>
      <x:c r="E26" s="74" t="str">
        <x:v>Unconfirmed</x:v>
      </x:c>
      <x:c r="F26" s="74"/>
      <x:c r="G26" s="74"/>
    </x:row>
    <x:row r="27" ht="78" customHeight="1">
      <x:c r="A27" s="64" t="n">
        <x:v>21</x:v>
      </x:c>
      <x:c r="B27" s="64" t="str">
        <x:v>3. Property and operating fit</x:v>
      </x:c>
      <x:c r="C27" s="64" t="str">
        <x:v>Amenities with evidence</x:v>
      </x:c>
      <x:c r="D27" s="86" t="str">
        <x:v>Price outdoor space, views, workspace, pool/hot tub and pet amenities against matched-comp evidence. Include permits, utilities, service and replacement costs.</x:v>
      </x:c>
      <x:c r="E27" s="74" t="str">
        <x:v>Unconfirmed</x:v>
      </x:c>
      <x:c r="F27" s="74"/>
      <x:c r="G27" s="74"/>
    </x:row>
    <x:row r="28" ht="78" customHeight="1">
      <x:c r="A28" s="64" t="n">
        <x:v>22</x:v>
      </x:c>
      <x:c r="B28" s="64" t="str">
        <x:v>3. Property and operating fit</x:v>
      </x:c>
      <x:c r="C28" s="64" t="str">
        <x:v>Neighbors and noise</x:v>
      </x:c>
      <x:c r="D28" s="86" t="str">
        <x:v>Assess shared walls, outdoor noise carry, parties, quiet hours, trash, smoking and enforcement history. Plan a lawful complaint-response process.</x:v>
      </x:c>
      <x:c r="E28" s="74" t="str">
        <x:v>Unconfirmed</x:v>
      </x:c>
      <x:c r="F28" s="74"/>
      <x:c r="G28" s="74"/>
    </x:row>
    <x:row r="29" ht="78" customHeight="1">
      <x:c r="A29" s="64" t="n">
        <x:v>23</x:v>
      </x:c>
      <x:c r="B29" s="64" t="str">
        <x:v>3. Property and operating fit</x:v>
      </x:c>
      <x:c r="C29" s="64" t="str">
        <x:v>Condition and renovation</x:v>
      </x:c>
      <x:c r="D29" s="86" t="str">
        <x:v>Inspect roof, HVAC, structure, plumbing, electrical and moisture. Obtain written bids and a contingency rather than a listing-agent renovation guess.</x:v>
      </x:c>
      <x:c r="E29" s="74" t="str">
        <x:v>Unconfirmed</x:v>
      </x:c>
      <x:c r="F29" s="74"/>
      <x:c r="G29" s="74"/>
    </x:row>
    <x:row r="30" ht="78" customHeight="1">
      <x:c r="A30" s="64" t="n">
        <x:v>24</x:v>
      </x:c>
      <x:c r="B30" s="64" t="str">
        <x:v>3. Property and operating fit</x:v>
      </x:c>
      <x:c r="C30" s="64" t="str">
        <x:v>Furniture and launch</x:v>
      </x:c>
      <x:c r="D30" s="86" t="str">
        <x:v>Budget durable furniture, kitchenware, linens, smart locks, lawful exterior security, photography and initial consumables. Do not omit setup labor or launch downtime.</x:v>
      </x:c>
      <x:c r="E30" s="74" t="str">
        <x:v>Unconfirmed</x:v>
      </x:c>
      <x:c r="F30" s="74"/>
      <x:c r="G30" s="74"/>
    </x:row>
    <x:row r="31" ht="78" customHeight="1">
      <x:c r="A31" s="64" t="n">
        <x:v>25</x:v>
      </x:c>
      <x:c r="B31" s="64" t="str">
        <x:v>3. Property and operating fit</x:v>
      </x:c>
      <x:c r="C31" s="64" t="str">
        <x:v>Maintenance intensity</x:v>
      </x:c>
      <x:c r="D31" s="86" t="str">
        <x:v>Price pool/hot tub, landscaping, snow, pest control, septic/well, dock, salt-air and mountain-access maintenance where relevant.</x:v>
      </x:c>
      <x:c r="E31" s="74" t="str">
        <x:v>Unconfirmed</x:v>
      </x:c>
      <x:c r="F31" s="74"/>
      <x:c r="G31" s="74"/>
    </x:row>
    <x:row r="32" ht="78" customHeight="1">
      <x:c r="A32" s="64" t="n">
        <x:v>26</x:v>
      </x:c>
      <x:c r="B32" s="64" t="str">
        <x:v>3. Property and operating fit</x:v>
      </x:c>
      <x:c r="C32" s="64" t="str">
        <x:v>Hazards and insurance</x:v>
      </x:c>
      <x:c r="D32" s="86" t="str">
        <x:v>Review parcel-level flood maps and wildfire/wind exposure, claims, exclusions, replacement coverage, liability and loss-of-income provisions. Being outside a mapped high-risk flood zone does not mean zero risk.</x:v>
      </x:c>
      <x:c r="E32" s="74" t="str">
        <x:v>Unconfirmed</x:v>
      </x:c>
      <x:c r="F32" s="74"/>
      <x:c r="G32" s="74"/>
    </x:row>
    <x:row r="33" ht="78" customHeight="1">
      <x:c r="A33" s="64" t="n">
        <x:v>27</x:v>
      </x:c>
      <x:c r="B33" s="64" t="str">
        <x:v>3. Property and operating fit</x:v>
      </x:c>
      <x:c r="C33" s="64" t="str">
        <x:v>Resale / fallback utility</x:v>
      </x:c>
      <x:c r="D33" s="86" t="str">
        <x:v>Ask whether a conventional household or long-term renter would want the property. Verify fallback rent, permitted use and realistic net sale proceeds.</x:v>
      </x:c>
      <x:c r="E33" s="74" t="str">
        <x:v>Unconfirmed</x:v>
      </x:c>
      <x:c r="F33" s="74"/>
      <x:c r="G33" s="74"/>
    </x:row>
    <x:row r="34" ht="78" customHeight="1">
      <x:c r="A34" s="64" t="n">
        <x:v>28</x:v>
      </x:c>
      <x:c r="B34" s="64" t="str">
        <x:v>4. Arbitrage and lease economics</x:v>
      </x:c>
      <x:c r="C34" s="64" t="str">
        <x:v>Written permission</x:v>
      </x:c>
      <x:c r="D34" s="86" t="str">
        <x:v>Use a signed lease/addendum expressly authorizing STR advertising, transient guests, subletting and intended platforms. Verbal consent is not sufficient evidence.</x:v>
      </x:c>
      <x:c r="E34" s="74" t="str">
        <x:v>Unconfirmed</x:v>
      </x:c>
      <x:c r="F34" s="74"/>
      <x:c r="G34" s="74"/>
    </x:row>
    <x:row r="35" ht="78" customHeight="1">
      <x:c r="A35" s="64" t="n">
        <x:v>29</x:v>
      </x:c>
      <x:c r="B35" s="64" t="str">
        <x:v>4. Arbitrage and lease economics</x:v>
      </x:c>
      <x:c r="C35" s="64" t="str">
        <x:v>Lease risk allocation</x:v>
      </x:c>
      <x:c r="D35" s="86" t="str">
        <x:v>Have counsel review term, renewal, rent escalations, deposits, guest liability, insurance, repair duties, furnishings, termination and loss-of-permit provisions.</x:v>
      </x:c>
      <x:c r="E35" s="74" t="str">
        <x:v>Unconfirmed</x:v>
      </x:c>
      <x:c r="F35" s="74"/>
      <x:c r="G35" s="74"/>
    </x:row>
    <x:row r="36" ht="78" customHeight="1">
      <x:c r="A36" s="64" t="n">
        <x:v>30</x:v>
      </x:c>
      <x:c r="B36" s="64" t="str">
        <x:v>4. Arbitrage and lease economics</x:v>
      </x:c>
      <x:c r="C36" s="64" t="str">
        <x:v>Full startup cash</x:v>
      </x:c>
      <x:c r="D36" s="86" t="str">
        <x:v>Include refundable deposits, prepaid rent, landlord payments, utilities, permits, setup, photography and operating reserves. Avoid double-counting prepaid amounts as new spending.</x:v>
      </x:c>
      <x:c r="E36" s="74" t="str">
        <x:v>Unconfirmed</x:v>
      </x:c>
      <x:c r="F36" s="74"/>
      <x:c r="G36" s="74"/>
    </x:row>
    <x:row r="37" ht="78" customHeight="1">
      <x:c r="A37" s="64" t="n">
        <x:v>31</x:v>
      </x:c>
      <x:c r="B37" s="64" t="str">
        <x:v>4. Arbitrage and lease economics</x:v>
      </x:c>
      <x:c r="C37" s="64" t="str">
        <x:v>Complete monthly burden</x:v>
      </x:c>
      <x:c r="D37" s="86" t="str">
        <x:v>Include rent, utilities, insurance, software, VA/management, cleaning, guest supplies, repairs, replacement reserve, lawn/pool/snow, licenses and absorbed taxes.</x:v>
      </x:c>
      <x:c r="E37" s="74" t="str">
        <x:v>Unconfirmed</x:v>
      </x:c>
      <x:c r="F37" s="74"/>
      <x:c r="G37" s="74"/>
    </x:row>
    <x:row r="38" ht="78" customHeight="1">
      <x:c r="A38" s="64" t="n">
        <x:v>32</x:v>
      </x:c>
      <x:c r="B38" s="64" t="str">
        <x:v>4. Arbitrage and lease economics</x:v>
      </x:c>
      <x:c r="C38" s="64" t="str">
        <x:v>Real turnover economics</x:v>
      </x:c>
      <x:c r="D38" s="86" t="str">
        <x:v>Model average length of stay, cleaning paid versus collected, platform fees on guest charges and the actual management fee basis.</x:v>
      </x:c>
      <x:c r="E38" s="74" t="str">
        <x:v>Unconfirmed</x:v>
      </x:c>
      <x:c r="F38" s="74"/>
      <x:c r="G38" s="74"/>
    </x:row>
    <x:row r="39" ht="78" customHeight="1">
      <x:c r="A39" s="64" t="n">
        <x:v>33</x:v>
      </x:c>
      <x:c r="B39" s="64" t="str">
        <x:v>4. Arbitrage and lease economics</x:v>
      </x:c>
      <x:c r="C39" s="64" t="str">
        <x:v>Downside and liquidity</x:v>
      </x:c>
      <x:c r="D39" s="86" t="str">
        <x:v>Reduce ADR 15%, occupancy 10 percentage points and increase fixed/turnover costs 10%. Separately test launch delay and the worst three months.</x:v>
      </x:c>
      <x:c r="E39" s="74" t="str">
        <x:v>Unconfirmed</x:v>
      </x:c>
      <x:c r="F39" s="74"/>
      <x:c r="G39" s="74"/>
    </x:row>
    <x:row r="40" ht="78" customHeight="1">
      <x:c r="A40" s="64" t="n">
        <x:v>34</x:v>
      </x:c>
      <x:c r="B40" s="64" t="str">
        <x:v>4. Arbitrage and lease economics</x:v>
      </x:c>
      <x:c r="C40" s="64" t="str">
        <x:v>Payback versus control</x:v>
      </x:c>
      <x:c r="D40" s="86" t="str">
        <x:v>Compare all-in startup payback with the firm remaining lease term, allowing time for ramp-up. Do not assume renewal or full furniture resale value.</x:v>
      </x:c>
      <x:c r="E40" s="74" t="str">
        <x:v>Unconfirmed</x:v>
      </x:c>
      <x:c r="F40" s="74"/>
      <x:c r="G40" s="74"/>
    </x:row>
    <x:row r="41" ht="78" customHeight="1">
      <x:c r="A41" s="64" t="n">
        <x:v>35</x:v>
      </x:c>
      <x:c r="B41" s="64" t="str">
        <x:v>4. Arbitrage and lease economics</x:v>
      </x:c>
      <x:c r="C41" s="64" t="str">
        <x:v>Exit mechanics</x:v>
      </x:c>
      <x:c r="D41" s="86" t="str">
        <x:v>Price restoration, deposit deductions, early termination, removal/sale of furniture and a legal long-term sublease fallback. Confirm who owns the bookings after exit.</x:v>
      </x:c>
      <x:c r="E41" s="74" t="str">
        <x:v>Unconfirmed</x:v>
      </x:c>
      <x:c r="F41" s="74"/>
      <x:c r="G41" s="74"/>
    </x:row>
    <x:row r="42" ht="78" customHeight="1">
      <x:c r="A42" s="64" t="n">
        <x:v>36</x:v>
      </x:c>
      <x:c r="B42" s="64" t="str">
        <x:v>5. Ownership and financing</x:v>
      </x:c>
      <x:c r="C42" s="64" t="str">
        <x:v>Acquisition cash</x:v>
      </x:c>
      <x:c r="D42" s="86" t="str">
        <x:v>Include down payment, closing costs, renovations, furnishings, permits, initial reserves, lender escrows and other purchase costs. Check which amounts are actually financed.</x:v>
      </x:c>
      <x:c r="E42" s="74" t="str">
        <x:v>Unconfirmed</x:v>
      </x:c>
      <x:c r="F42" s="74"/>
      <x:c r="G42" s="74"/>
    </x:row>
    <x:row r="43" ht="78" customHeight="1">
      <x:c r="A43" s="64" t="n">
        <x:v>37</x:v>
      </x:c>
      <x:c r="B43" s="64" t="str">
        <x:v>5. Ownership and financing</x:v>
      </x:c>
      <x:c r="C43" s="64" t="str">
        <x:v>Loan terms and permitted use</x:v>
      </x:c>
      <x:c r="D43" s="86" t="str">
        <x:v>Obtain a written term sheet: rate/APR, points, amortization, balloon, prepayment penalty, reserve requirement and permitted STR/business occupancy.</x:v>
      </x:c>
      <x:c r="E43" s="74" t="str">
        <x:v>Unconfirmed</x:v>
      </x:c>
      <x:c r="F43" s="74"/>
      <x:c r="G43" s="74"/>
    </x:row>
    <x:row r="44" ht="78" customHeight="1">
      <x:c r="A44" s="64" t="n">
        <x:v>38</x:v>
      </x:c>
      <x:c r="B44" s="64" t="str">
        <x:v>5. Ownership and financing</x:v>
      </x:c>
      <x:c r="C44" s="64" t="str">
        <x:v>Taxes, insurance and HOA</x:v>
      </x:c>
      <x:c r="D44" s="86" t="str">
        <x:v>Use post-purchase assessment estimates, bindable STR coverage and current HOA budgets, reserves, assessments and meeting minutes. Do not rely on the seller's historic tax bill alone.</x:v>
      </x:c>
      <x:c r="E44" s="74" t="str">
        <x:v>Unconfirmed</x:v>
      </x:c>
      <x:c r="F44" s="74"/>
      <x:c r="G44" s="74"/>
    </x:row>
    <x:row r="45" ht="78" customHeight="1">
      <x:c r="A45" s="64" t="n">
        <x:v>39</x:v>
      </x:c>
      <x:c r="B45" s="64" t="str">
        <x:v>5. Ownership and financing</x:v>
      </x:c>
      <x:c r="C45" s="64" t="str">
        <x:v>NOI versus cash flow</x:v>
      </x:c>
      <x:c r="D45" s="86" t="str">
        <x:v>NOI is before debt and depreciation. This toolkit deducts CapEx reserves after NOI to show spendable cash flow. Confirm the lender's distinct underwriting definition.</x:v>
      </x:c>
      <x:c r="E45" s="74" t="str">
        <x:v>Unconfirmed</x:v>
      </x:c>
      <x:c r="F45" s="74"/>
      <x:c r="G45" s="74"/>
    </x:row>
    <x:row r="46" ht="78" customHeight="1">
      <x:c r="A46" s="64" t="n">
        <x:v>40</x:v>
      </x:c>
      <x:c r="B46" s="64" t="str">
        <x:v>5. Ownership and financing</x:v>
      </x:c>
      <x:c r="C46" s="64" t="str">
        <x:v>Returns and coverage</x:v>
      </x:c>
      <x:c r="D46" s="86" t="str">
        <x:v>Compare cap rate, cash-on-cash, NOI DSCR and after-reserve cash coverage. A high gross-revenue yield is not cash-on-cash return.</x:v>
      </x:c>
      <x:c r="E46" s="74" t="str">
        <x:v>Unconfirmed</x:v>
      </x:c>
      <x:c r="F46" s="74"/>
      <x:c r="G46" s="74"/>
    </x:row>
    <x:row r="47" ht="78" customHeight="1">
      <x:c r="A47" s="64" t="n">
        <x:v>41</x:v>
      </x:c>
      <x:c r="B47" s="64" t="str">
        <x:v>5. Ownership and financing</x:v>
      </x:c>
      <x:c r="C47" s="64" t="str">
        <x:v>Reserves and repairs</x:v>
      </x:c>
      <x:c r="D47" s="86" t="str">
        <x:v>Fund major replacements and low-season carry separately from renovation/launch cash. Check whether the insurance deductible can be paid without new borrowing.</x:v>
      </x:c>
      <x:c r="E47" s="74" t="str">
        <x:v>Unconfirmed</x:v>
      </x:c>
      <x:c r="F47" s="74"/>
      <x:c r="G47" s="74"/>
    </x:row>
    <x:row r="48" ht="78" customHeight="1">
      <x:c r="A48" s="64" t="n">
        <x:v>42</x:v>
      </x:c>
      <x:c r="B48" s="64" t="str">
        <x:v>5. Ownership and financing</x:v>
      </x:c>
      <x:c r="C48" s="64" t="str">
        <x:v>Five-year assumptions</x:v>
      </x:c>
      <x:c r="D48" s="86" t="str">
        <x:v>Use zero appreciation in the initial screen. Test fixed-cost inflation, capital repairs, refinance risk and declining revenue. Paper equity is not distributable cash.</x:v>
      </x:c>
      <x:c r="E48" s="74" t="str">
        <x:v>Unconfirmed</x:v>
      </x:c>
      <x:c r="F48" s="74"/>
      <x:c r="G48" s="74"/>
    </x:row>
    <x:row r="49" ht="78" customHeight="1">
      <x:c r="A49" s="64" t="n">
        <x:v>43</x:v>
      </x:c>
      <x:c r="B49" s="64" t="str">
        <x:v>5. Ownership and financing</x:v>
      </x:c>
      <x:c r="C49" s="64" t="str">
        <x:v>Exit and liquidity</x:v>
      </x:c>
      <x:c r="D49" s="86" t="str">
        <x:v>Research long-term rent, ordinary homebuyer resale, sales expenses, debt payoff and possible taxes/recapture. Permit transferability may materially affect the buyer pool.</x:v>
      </x:c>
      <x:c r="E49" s="74" t="str">
        <x:v>Unconfirmed</x:v>
      </x:c>
      <x:c r="F49" s="74"/>
      <x:c r="G49" s="74"/>
    </x:row>
    <x:row r="50" ht="78" customHeight="1">
      <x:c r="A50" s="64" t="n">
        <x:v>44</x:v>
      </x:c>
      <x:c r="B50" s="64" t="str">
        <x:v>6. Tax-planning evidence</x:v>
      </x:c>
      <x:c r="C50" s="64" t="str">
        <x:v>Basis and land</x:v>
      </x:c>
      <x:c r="D50" s="86" t="str">
        <x:v>Document purchase allocation, nondepreciable land, eligible closing costs and capitalized renovations. Keep furniture separate to avoid double counting.</x:v>
      </x:c>
      <x:c r="E50" s="74" t="str">
        <x:v>Unconfirmed</x:v>
      </x:c>
      <x:c r="F50" s="74"/>
      <x:c r="G50" s="74"/>
    </x:row>
    <x:row r="51" ht="78" customHeight="1">
      <x:c r="A51" s="64" t="n">
        <x:v>45</x:v>
      </x:c>
      <x:c r="B51" s="64" t="str">
        <x:v>6. Tax-planning evidence</x:v>
      </x:c>
      <x:c r="C51" s="64" t="str">
        <x:v>Cost segregation study</x:v>
      </x:c>
      <x:c r="D51" s="86" t="str">
        <x:v>Have a qualified professional support asset classes, lives and reclassified amounts. A percentage input is a planning assumption—not a completed study.</x:v>
      </x:c>
      <x:c r="E51" s="74" t="str">
        <x:v>Unconfirmed</x:v>
      </x:c>
      <x:c r="F51" s="74"/>
      <x:c r="G51" s="74"/>
    </x:row>
    <x:row r="52" ht="78" customHeight="1">
      <x:c r="A52" s="64" t="n">
        <x:v>46</x:v>
      </x:c>
      <x:c r="B52" s="64" t="str">
        <x:v>6. Tax-planning evidence</x:v>
      </x:c>
      <x:c r="C52" s="64" t="str">
        <x:v>Eligibility and dates</x:v>
      </x:c>
      <x:c r="D52" s="86" t="str">
        <x:v>Confirm acquisition/binding-contract and placed-in-service dates, business use, asset qualification, elections and current federal/state rules. The entire building is not automatically bonus-eligible.</x:v>
      </x:c>
      <x:c r="E52" s="74" t="str">
        <x:v>Unconfirmed</x:v>
      </x:c>
      <x:c r="F52" s="74"/>
      <x:c r="G52" s="74"/>
    </x:row>
    <x:row r="53" ht="78" customHeight="1">
      <x:c r="A53" s="64" t="n">
        <x:v>47</x:v>
      </x:c>
      <x:c r="B53" s="64" t="str">
        <x:v>6. Tax-planning evidence</x:v>
      </x:c>
      <x:c r="C53" s="64" t="str">
        <x:v>Activity classification</x:v>
      </x:c>
      <x:c r="D53" s="86" t="str">
        <x:v>Average customer use of seven days or less can change the passive-activity rental classification; it does not automatically create nonpassive income, Schedule C treatment or exemption from other limits.</x:v>
      </x:c>
      <x:c r="E53" s="74" t="str">
        <x:v>Unconfirmed</x:v>
      </x:c>
      <x:c r="F53" s="74"/>
      <x:c r="G53" s="74"/>
    </x:row>
    <x:row r="54" ht="78" customHeight="1">
      <x:c r="A54" s="64" t="n">
        <x:v>48</x:v>
      </x:c>
      <x:c r="B54" s="64" t="str">
        <x:v>6. Tax-planning evidence</x:v>
      </x:c>
      <x:c r="C54" s="64" t="str">
        <x:v>Material participation</x:v>
      </x:c>
      <x:c r="D54" s="86" t="str">
        <x:v>Keep contemporaneous, credible work records. Ask the CPA which test applies, how spouse/manager hours count and which activities are excluded. Buying before year-end does not establish participation.</x:v>
      </x:c>
      <x:c r="E54" s="74" t="str">
        <x:v>Unconfirmed</x:v>
      </x:c>
      <x:c r="F54" s="74"/>
      <x:c r="G54" s="74"/>
    </x:row>
    <x:row r="55" ht="78" customHeight="1">
      <x:c r="A55" s="64" t="n">
        <x:v>49</x:v>
      </x:c>
      <x:c r="B55" s="64" t="str">
        <x:v>6. Tax-planning evidence</x:v>
      </x:c>
      <x:c r="C55" s="64" t="str">
        <x:v>Usable loss and later tax</x:v>
      </x:c>
      <x:c r="D55" s="86" t="str">
        <x:v>Ask the CPA to evaluate basis, at-risk, passive-loss, excess-business-loss and other limits; state conformity; personal use; future sale/recapture and disposition planning. A deduction is not a guaranteed refund.</x:v>
      </x:c>
      <x:c r="E55" s="74" t="str">
        <x:v>Unconfirmed</x:v>
      </x:c>
      <x:c r="F55" s="74"/>
      <x:c r="G55" s="74"/>
    </x:row>
    <x:row r="56" ht="78" customHeight="1">
      <x:c r="A56" s="64" t="n">
        <x:v>50</x:v>
      </x:c>
      <x:c r="B56" s="64" t="str">
        <x:v>7. Stress test and exit</x:v>
      </x:c>
      <x:c r="C56" s="64" t="str">
        <x:v>Illegal or unresolved use</x:v>
      </x:c>
      <x:c r="D56" s="86" t="str">
        <x:v>STOP when the intended use is prohibited or consent is denied. HOLD when permission, permit availability, insurance or safe occupancy remains unconfirmed.</x:v>
      </x:c>
      <x:c r="E56" s="74" t="str">
        <x:v>Unconfirmed</x:v>
      </x:c>
      <x:c r="F56" s="74"/>
      <x:c r="G56" s="74"/>
    </x:row>
    <x:row r="57" ht="78" customHeight="1">
      <x:c r="A57" s="64" t="n">
        <x:v>51</x:v>
      </x:c>
      <x:c r="B57" s="64" t="str">
        <x:v>7. Stress test and exit</x:v>
      </x:c>
      <x:c r="C57" s="64" t="str">
        <x:v>Projection-only economics</x:v>
      </x:c>
      <x:c r="D57" s="86" t="str">
        <x:v>Investigate deals supported only by seller pro formas, top-performing listings, blocked calendars or one annual event. Obtain independent evidence.</x:v>
      </x:c>
      <x:c r="E57" s="74" t="str">
        <x:v>Unconfirmed</x:v>
      </x:c>
      <x:c r="F57" s="74"/>
      <x:c r="G57" s="74"/>
    </x:row>
    <x:row r="58" ht="78" customHeight="1">
      <x:c r="A58" s="64" t="n">
        <x:v>52</x:v>
      </x:c>
      <x:c r="B58" s="64" t="str">
        <x:v>7. Stress test and exit</x:v>
      </x:c>
      <x:c r="C58" s="64" t="str">
        <x:v>Insufficient margin</x:v>
      </x:c>
      <x:c r="D58" s="86" t="str">
        <x:v>Rework a deal requiring unrealistic ADR/occupancy or ignoring platform fees, reserves, management, assessments or expensive insurance.</x:v>
      </x:c>
      <x:c r="E58" s="74" t="str">
        <x:v>Unconfirmed</x:v>
      </x:c>
      <x:c r="F58" s="74"/>
      <x:c r="G58" s="74"/>
    </x:row>
    <x:row r="59" ht="78" customHeight="1">
      <x:c r="A59" s="64" t="n">
        <x:v>53</x:v>
      </x:c>
      <x:c r="B59" s="64" t="str">
        <x:v>7. Stress test and exit</x:v>
      </x:c>
      <x:c r="C59" s="64" t="str">
        <x:v>Operational fragility</x:v>
      </x:c>
      <x:c r="D59" s="86" t="str">
        <x:v>Investigate remote labor shortages, difficult access, neighbor sensitivity, storm exposure, aging systems or amenities without maintenance quotes.</x:v>
      </x:c>
      <x:c r="E59" s="74" t="str">
        <x:v>Unconfirmed</x:v>
      </x:c>
      <x:c r="F59" s="74"/>
      <x:c r="G59" s="74"/>
    </x:row>
    <x:row r="60" ht="78" customHeight="1">
      <x:c r="A60" s="64" t="n">
        <x:v>54</x:v>
      </x:c>
      <x:c r="B60" s="64" t="str">
        <x:v>7. Stress test and exit</x:v>
      </x:c>
      <x:c r="C60" s="64" t="str">
        <x:v>Tax-dependent viability</x:v>
      </x:c>
      <x:c r="D60" s="86" t="str">
        <x:v>Do not justify recurring operating losses with an unverified first-year deduction, assumed refund, appreciation or refinance.</x:v>
      </x:c>
      <x:c r="E60" s="74" t="str">
        <x:v>Unconfirmed</x:v>
      </x:c>
      <x:c r="F60" s="74"/>
      <x:c r="G60" s="74"/>
    </x:row>
    <x:row r="61" ht="78" customHeight="1">
      <x:c r="A61" s="64" t="n">
        <x:v>55</x:v>
      </x:c>
      <x:c r="B61" s="64" t="str">
        <x:v>7. Stress test and exit</x:v>
      </x:c>
      <x:c r="C61" s="64" t="str">
        <x:v>Written downside plan</x:v>
      </x:c>
      <x:c r="D61" s="86" t="str">
        <x:v>Document cash needed for a launch delay, the worst season, a major repair and a regulatory shutdown. State the action trigger and the exit cost.</x:v>
      </x:c>
      <x:c r="E61" s="74" t="str">
        <x:v>Unconfirmed</x:v>
      </x:c>
      <x:c r="F61" s="74"/>
      <x:c r="G61" s="74"/>
    </x:row>
  </x:sheetData>
  <x:mergeCells>
    <x:mergeCell ref="A1:G2"/>
    <x:mergeCell ref="A3:G4"/>
  </x:mergeCells>
  <x:dataValidations count="1">
    <x:dataValidation type="list" sqref="E7:E61">
      <x:formula1>"Unconfirmed,Verified,Problem,Not 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470cf62609441d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58" hidden="0" customWidth="1"/>
  </x:cols>
  <x:sheetData>
    <x:row r="1" ht="28" customHeight="1">
      <x:c r="A1" s="67" t="str">
        <x:v>DECISION RECORD | What would change your mind?</x:v>
      </x:c>
      <x:c r="B1" s="67"/>
    </x:row>
    <x:row r="2" ht="24" customHeight="1">
      <x:c r="A2" s="67"/>
      <x:c r="B2" s="67"/>
    </x:row>
    <x:row r="3" ht="23" customHeight="1">
      <x:c r="A3" s="68" t="str">
        <x:v>Complete after running both the base and conservative scenarios. Keep copies of the evidence; a checked box without documentation is not approval.</x:v>
      </x:c>
      <x:c r="B3" s="68"/>
    </x:row>
    <x:row r="4" ht="23" customHeight="1">
      <x:c r="A4" s="68"/>
      <x:c r="B4" s="68"/>
    </x:row>
    <x:row r="5" ht="10" customHeight="1">
      <x:c r="A5" s="64"/>
      <x:c r="B5" s="64"/>
    </x:row>
    <x:row r="6" ht="37" customHeight="1">
      <x:c r="A6" s="76" t="str">
        <x:v>Decision field</x:v>
      </x:c>
      <x:c r="B6" s="76" t="str">
        <x:v>Your answer / evidence</x:v>
      </x:c>
    </x:row>
    <x:row r="7" ht="52" customHeight="1">
      <x:c r="A7" s="64" t="str">
        <x:v>Property / address</x:v>
      </x:c>
      <x:c r="B7" s="74"/>
    </x:row>
    <x:row r="8" ht="52" customHeight="1">
      <x:c r="A8" s="64" t="str">
        <x:v>Model / jurisdiction</x:v>
      </x:c>
      <x:c r="B8" s="74"/>
    </x:row>
    <x:row r="9" ht="52" customHeight="1">
      <x:c r="A9" s="64" t="str">
        <x:v>Decision date / reviewer</x:v>
      </x:c>
      <x:c r="B9" s="74"/>
    </x:row>
    <x:row r="10" ht="52" customHeight="1">
      <x:c r="A10" s="64" t="str">
        <x:v>Current decision: STOP / HOLD / continue diligence</x:v>
      </x:c>
      <x:c r="B10" s="74"/>
    </x:row>
    <x:row r="11" ht="52" customHeight="1">
      <x:c r="A11" s="64" t="str">
        <x:v>Base monthly cash flow / cash invested</x:v>
      </x:c>
      <x:c r="B11" s="74"/>
    </x:row>
    <x:row r="12" ht="52" customHeight="1">
      <x:c r="A12" s="64" t="str">
        <x:v>Conservative monthly cash flow / reserve runway</x:v>
      </x:c>
      <x:c r="B12" s="74"/>
    </x:row>
    <x:row r="13" ht="52" customHeight="1">
      <x:c r="A13" s="64" t="str">
        <x:v>ADR / occupancy / matched comp source</x:v>
      </x:c>
      <x:c r="B13" s="74"/>
    </x:row>
    <x:row r="14" ht="52" customHeight="1">
      <x:c r="A14" s="64" t="str">
        <x:v>Break-even occupancy / cushion</x:v>
      </x:c>
      <x:c r="B14" s="74"/>
    </x:row>
    <x:row r="15" ht="52" customHeight="1">
      <x:c r="A15" s="64" t="str">
        <x:v>Largest unresolved risk</x:v>
      </x:c>
      <x:c r="B15" s="74"/>
    </x:row>
    <x:row r="16" ht="52" customHeight="1">
      <x:c r="A16" s="64" t="str">
        <x:v>Non-negotiable condition before signing</x:v>
      </x:c>
      <x:c r="B16" s="74"/>
    </x:row>
    <x:row r="17" ht="52" customHeight="1">
      <x:c r="A17" s="64" t="str">
        <x:v>Required permit / consent / insurance documents</x:v>
      </x:c>
      <x:c r="B17" s="74"/>
    </x:row>
    <x:row r="18" ht="52" customHeight="1">
      <x:c r="A18" s="64" t="str">
        <x:v>Cost of exit or legal fallback</x:v>
      </x:c>
      <x:c r="B18" s="74"/>
    </x:row>
    <x:row r="19" ht="52" customHeight="1">
      <x:c r="A19" s="64" t="str">
        <x:v>Next action / responsible person / deadline</x:v>
      </x:c>
      <x:c r="B19" s="74"/>
    </x:row>
  </x:sheetData>
  <x:mergeCells>
    <x:mergeCell ref="A1:B2"/>
    <x:mergeCell ref="A3:B4"/>
  </x:mergeCells>
  <x:pageMargins left="0.7" right="0.7" top="0.75" bottom="0.75" header="0.3" footer="0.3"/>
  <x:tableParts count="1">
    <x:tablePart xmlns:r="http://schemas.openxmlformats.org/officeDocument/2006/relationships" r:id="Rb8b2d843b173467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>
      <x:c r="A1" s="89" t="str">
        <x:v>STR Buy Box</x:v>
      </x:c>
      <x:c r="B1" s="89"/>
      <x:c r="C1" s="89"/>
      <x:c r="D1" s="89"/>
      <x:c r="E1" s="89"/>
      <x:c r="F1" s="89"/>
      <x:c r="G1" s="89"/>
      <x:c r="H1" s="89"/>
    </x:row>
    <x:row r="2">
      <x:c r="A2" s="89"/>
      <x:c r="B2" s="89"/>
      <x:c r="C2" s="89"/>
      <x:c r="D2" s="89"/>
      <x:c r="E2" s="89"/>
      <x:c r="F2" s="89"/>
      <x:c r="G2" s="89"/>
      <x:c r="H2" s="89"/>
    </x:row>
    <x:row r="3">
      <x:c r="A3" s="90" t="str">
        <x:v>A permission-first checklist for deciding whether a deal deserves deeper diligence.</x:v>
      </x:c>
      <x:c r="B3" s="90"/>
      <x:c r="C3" s="90"/>
      <x:c r="D3" s="90"/>
      <x:c r="E3" s="90"/>
      <x:c r="F3" s="90"/>
      <x:c r="G3" s="90"/>
      <x:c r="H3" s="90"/>
    </x:row>
    <x:row r="4">
      <x:c r="A4" s="87"/>
      <x:c r="B4" s="87"/>
      <x:c r="C4" s="87"/>
      <x:c r="D4" s="87"/>
      <x:c r="E4" s="87"/>
      <x:c r="F4" s="87"/>
      <x:c r="G4" s="87"/>
      <x:c r="H4" s="87"/>
    </x:row>
    <x:row r="5">
      <x:c r="A5" s="92" t="str">
        <x:v>CURRENT SCORECARD STATUS</x:v>
      </x:c>
      <x:c r="B5" s="92"/>
      <x:c r="C5" s="92"/>
      <x:c r="D5" s="92"/>
      <x:c r="E5" s="92"/>
      <x:c r="F5" s="92"/>
      <x:c r="G5" s="92"/>
      <x:c r="H5" s="92"/>
    </x:row>
    <x:row r="6">
      <x:c r="A6" s="87"/>
      <x:c r="B6" s="87"/>
      <x:c r="C6" s="87"/>
      <x:c r="D6" s="87"/>
      <x:c r="E6" s="87"/>
      <x:c r="F6" s="87"/>
      <x:c r="G6" s="87"/>
      <x:c r="H6" s="87"/>
    </x:row>
    <x:row r="7">
      <x:c r="A7" s="93" t="str">
        <x:v>Weighted score</x:v>
      </x:c>
      <x:c r="B7" s="93"/>
      <x:c r="C7" s="93"/>
      <x:c r="D7" s="95" t="n">
        <x:f>'Deal Scorecard'!E33</x:f>
        <x:v>0</x:v>
      </x:c>
      <x:c r="E7" s="95"/>
      <x:c r="F7" s="95"/>
      <x:c r="G7" s="95"/>
      <x:c r="H7" s="95"/>
    </x:row>
    <x:row r="8">
      <x:c r="A8" s="87"/>
      <x:c r="B8" s="87"/>
      <x:c r="C8" s="87"/>
      <x:c r="D8" s="87"/>
      <x:c r="E8" s="87"/>
      <x:c r="F8" s="87"/>
      <x:c r="G8" s="87"/>
      <x:c r="H8" s="87"/>
    </x:row>
    <x:row r="9">
      <x:c r="A9" s="93" t="str">
        <x:v>Hard-gate status</x:v>
      </x:c>
      <x:c r="B9" s="93"/>
      <x:c r="C9" s="93"/>
      <x:c r="D9" s="96" t="str">
        <x:f>'Deal Scorecard'!E35</x:f>
        <x:v>HOLD: unresolved hard gate</x:v>
      </x:c>
      <x:c r="E9" s="96"/>
      <x:c r="F9" s="96"/>
      <x:c r="G9" s="96"/>
      <x:c r="H9" s="96"/>
    </x:row>
    <x:row r="10">
      <x:c r="A10" s="87"/>
      <x:c r="B10" s="87"/>
      <x:c r="C10" s="87"/>
      <x:c r="D10" s="87"/>
      <x:c r="E10" s="87"/>
      <x:c r="F10" s="87"/>
      <x:c r="G10" s="87"/>
      <x:c r="H10" s="87"/>
    </x:row>
    <x:row r="11">
      <x:c r="A11" s="93" t="str">
        <x:v>Due-diligence priority</x:v>
      </x:c>
      <x:c r="B11" s="93"/>
      <x:c r="C11" s="93"/>
      <x:c r="D11" s="96" t="str">
        <x:f>'Deal Scorecard'!E37</x:f>
        <x:v>HOLD: confirm permissions and safety</x:v>
      </x:c>
      <x:c r="E11" s="96"/>
      <x:c r="F11" s="96"/>
      <x:c r="G11" s="96"/>
      <x:c r="H11" s="96"/>
    </x:row>
    <x:row r="12">
      <x:c r="A12" s="87"/>
      <x:c r="B12" s="87"/>
      <x:c r="C12" s="87"/>
      <x:c r="D12" s="87"/>
      <x:c r="E12" s="87"/>
      <x:c r="F12" s="87"/>
      <x:c r="G12" s="87"/>
      <x:c r="H12" s="87"/>
    </x:row>
    <x:row r="13">
      <x:c r="A13" s="87"/>
      <x:c r="B13" s="87"/>
      <x:c r="C13" s="87"/>
      <x:c r="D13" s="87"/>
      <x:c r="E13" s="87"/>
      <x:c r="F13" s="87"/>
      <x:c r="G13" s="87"/>
      <x:c r="H13" s="87"/>
    </x:row>
    <x:row r="14">
      <x:c r="A14" s="98" t="str">
        <x:v>WORKFLOW</x:v>
      </x:c>
      <x:c r="B14" s="98"/>
      <x:c r="C14" s="98"/>
      <x:c r="D14" s="98"/>
      <x:c r="E14" s="98"/>
      <x:c r="F14" s="98"/>
      <x:c r="G14" s="98"/>
      <x:c r="H14" s="98"/>
    </x:row>
    <x:row r="15">
      <x:c r="A15" s="87"/>
      <x:c r="B15" s="87"/>
      <x:c r="C15" s="87"/>
      <x:c r="D15" s="87"/>
      <x:c r="E15" s="87"/>
      <x:c r="F15" s="87"/>
      <x:c r="G15" s="87"/>
      <x:c r="H15" s="87"/>
    </x:row>
    <x:row r="16">
      <x:c r="A16" s="99" t="str">
        <x:v>01</x:v>
      </x:c>
      <x:c r="B16" s="100" t="str">
        <x:v>Score the deal</x:v>
      </x:c>
      <x:c r="C16" s="100"/>
      <x:c r="D16" s="100"/>
      <x:c r="E16" s="100"/>
      <x:c r="F16" s="100"/>
      <x:c r="G16" s="100"/>
      <x:c r="H16" s="100"/>
    </x:row>
    <x:row r="17">
      <x:c r="A17" s="99"/>
      <x:c r="B17" s="101" t="str">
        <x:v>Use Deal Scorecard. A high score never overrides a failed permission gate.</x:v>
      </x:c>
      <x:c r="C17" s="101"/>
      <x:c r="D17" s="101"/>
      <x:c r="E17" s="101"/>
      <x:c r="F17" s="101"/>
      <x:c r="G17" s="101"/>
      <x:c r="H17" s="101"/>
    </x:row>
    <x:row r="18">
      <x:c r="A18" s="87"/>
      <x:c r="B18" s="87"/>
      <x:c r="C18" s="87"/>
      <x:c r="D18" s="87"/>
      <x:c r="E18" s="87"/>
      <x:c r="F18" s="87"/>
      <x:c r="G18" s="87"/>
      <x:c r="H18" s="87"/>
    </x:row>
    <x:row r="19">
      <x:c r="A19" s="99" t="str">
        <x:v>02</x:v>
      </x:c>
      <x:c r="B19" s="100" t="str">
        <x:v>Document the evidence</x:v>
      </x:c>
      <x:c r="C19" s="100"/>
      <x:c r="D19" s="100"/>
      <x:c r="E19" s="100"/>
      <x:c r="F19" s="100"/>
      <x:c r="G19" s="100"/>
      <x:c r="H19" s="100"/>
    </x:row>
    <x:row r="20">
      <x:c r="A20" s="99"/>
      <x:c r="B20" s="101" t="str">
        <x:v>Use Evidence Checklist. Save the actual source, date, owner and next action.</x:v>
      </x:c>
      <x:c r="C20" s="101"/>
      <x:c r="D20" s="101"/>
      <x:c r="E20" s="101"/>
      <x:c r="F20" s="101"/>
      <x:c r="G20" s="101"/>
      <x:c r="H20" s="101"/>
    </x:row>
    <x:row r="21">
      <x:c r="A21" s="87"/>
      <x:c r="B21" s="87"/>
      <x:c r="C21" s="87"/>
      <x:c r="D21" s="87"/>
      <x:c r="E21" s="87"/>
      <x:c r="F21" s="87"/>
      <x:c r="G21" s="87"/>
      <x:c r="H21" s="87"/>
    </x:row>
    <x:row r="22">
      <x:c r="A22" s="99" t="str">
        <x:v>03</x:v>
      </x:c>
      <x:c r="B22" s="100" t="str">
        <x:v>Stress test the economics</x:v>
      </x:c>
      <x:c r="C22" s="100"/>
      <x:c r="D22" s="100"/>
      <x:c r="E22" s="100"/>
      <x:c r="F22" s="100"/>
      <x:c r="G22" s="100"/>
      <x:c r="H22" s="100"/>
    </x:row>
    <x:row r="23">
      <x:c r="A23" s="99"/>
      <x:c r="B23" s="101" t="str">
        <x:v>Run base and conservative cases in the separate deal calculator.</x:v>
      </x:c>
      <x:c r="C23" s="101"/>
      <x:c r="D23" s="101"/>
      <x:c r="E23" s="101"/>
      <x:c r="F23" s="101"/>
      <x:c r="G23" s="101"/>
      <x:c r="H23" s="101"/>
    </x:row>
    <x:row r="24">
      <x:c r="A24" s="87"/>
      <x:c r="B24" s="87"/>
      <x:c r="C24" s="87"/>
      <x:c r="D24" s="87"/>
      <x:c r="E24" s="87"/>
      <x:c r="F24" s="87"/>
      <x:c r="G24" s="87"/>
      <x:c r="H24" s="87"/>
    </x:row>
    <x:row r="25">
      <x:c r="A25" s="99" t="str">
        <x:v>04</x:v>
      </x:c>
      <x:c r="B25" s="100" t="str">
        <x:v>Write the decision</x:v>
      </x:c>
      <x:c r="C25" s="100"/>
      <x:c r="D25" s="100"/>
      <x:c r="E25" s="100"/>
      <x:c r="F25" s="100"/>
      <x:c r="G25" s="100"/>
      <x:c r="H25" s="100"/>
    </x:row>
    <x:row r="26">
      <x:c r="A26" s="99"/>
      <x:c r="B26" s="101" t="str">
        <x:v>Use Decision Record to state what must happen before signing or closing.</x:v>
      </x:c>
      <x:c r="C26" s="101"/>
      <x:c r="D26" s="101"/>
      <x:c r="E26" s="101"/>
      <x:c r="F26" s="101"/>
      <x:c r="G26" s="101"/>
      <x:c r="H26" s="101"/>
    </x:row>
    <x:row r="27">
      <x:c r="A27" s="87"/>
      <x:c r="B27" s="87"/>
      <x:c r="C27" s="87"/>
      <x:c r="D27" s="87"/>
      <x:c r="E27" s="87"/>
      <x:c r="F27" s="87"/>
      <x:c r="G27" s="87"/>
      <x:c r="H27" s="87"/>
    </x:row>
    <x:row r="28">
      <x:c r="A28" s="87"/>
      <x:c r="B28" s="87"/>
      <x:c r="C28" s="87"/>
      <x:c r="D28" s="87"/>
      <x:c r="E28" s="87"/>
      <x:c r="F28" s="87"/>
      <x:c r="G28" s="87"/>
      <x:c r="H28" s="87"/>
    </x:row>
    <x:row r="29">
      <x:c r="A29" s="104" t="str">
        <x:v>STOP means a hard gate failed. HOLD means a required fact is still unresolved. Neither status can be fixed by a better projected return.</x:v>
      </x:c>
      <x:c r="B29" s="104"/>
      <x:c r="C29" s="104"/>
      <x:c r="D29" s="104"/>
      <x:c r="E29" s="104"/>
      <x:c r="F29" s="104"/>
      <x:c r="G29" s="104"/>
      <x:c r="H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</x:row>
    <x:row r="31">
      <x:c r="A31" s="104"/>
      <x:c r="B31" s="104"/>
      <x:c r="C31" s="104"/>
      <x:c r="D31" s="104"/>
      <x:c r="E31" s="104"/>
      <x:c r="F31" s="104"/>
      <x:c r="G31" s="104"/>
      <x:c r="H31" s="104"/>
    </x:row>
    <x:row r="32">
      <x:c r="A32" s="87"/>
      <x:c r="B32" s="87"/>
      <x:c r="C32" s="87"/>
      <x:c r="D32" s="87"/>
      <x:c r="E32" s="87"/>
      <x:c r="F32" s="87"/>
      <x:c r="G32" s="87"/>
      <x:c r="H32" s="87"/>
    </x:row>
  </x:sheetData>
  <x:mergeCells>
    <x:mergeCell ref="A1:H2"/>
    <x:mergeCell ref="A3:H3"/>
    <x:mergeCell ref="A5:H5"/>
    <x:mergeCell ref="A7:C7"/>
    <x:mergeCell ref="D7:H7"/>
    <x:mergeCell ref="A9:C9"/>
    <x:mergeCell ref="D9:H9"/>
    <x:mergeCell ref="A11:C11"/>
    <x:mergeCell ref="D11:H11"/>
    <x:mergeCell ref="A14:H14"/>
    <x:mergeCell ref="A16:A17"/>
    <x:mergeCell ref="B16:H16"/>
    <x:mergeCell ref="B17:H17"/>
    <x:mergeCell ref="A19:A20"/>
    <x:mergeCell ref="B19:H19"/>
    <x:mergeCell ref="B20:H20"/>
    <x:mergeCell ref="A22:A23"/>
    <x:mergeCell ref="B22:H22"/>
    <x:mergeCell ref="B23:H23"/>
    <x:mergeCell ref="A25:A26"/>
    <x:mergeCell ref="B25:H25"/>
    <x:mergeCell ref="B26:H26"/>
    <x:mergeCell ref="A29:H31"/>
  </x:mergeCells>
  <x:pageMargins left="0.7" right="0.7" top="0.75" bottom="0.75" header="0.3" footer="0.3"/>
</x:worksheet>
</file>